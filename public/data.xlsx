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flict - Environment - XCheck" sheetId="1" state="visible" r:id="rId3"/>
    <sheet name="Conflicts" sheetId="2" state="visible" r:id="rId4"/>
    <sheet name="Conflict Tier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<sst xmlns="http://schemas.openxmlformats.org/spreadsheetml/2006/main" count="599" uniqueCount="469">
  <si>
    <t xml:space="preserve">Date</t>
  </si>
  <si>
    <t xml:space="preserve">Conflict / Location</t>
  </si>
  <si>
    <t xml:space="preserve">Environmental damage</t>
  </si>
  <si>
    <t xml:space="preserve">Deliberate / Byproduct / Hybrid</t>
  </si>
  <si>
    <t xml:space="preserve">Why it is significant</t>
  </si>
  <si>
    <t xml:space="preserve">Source</t>
  </si>
  <si>
    <t xml:space="preserve">ISO</t>
  </si>
  <si>
    <t xml:space="preserve">Image</t>
  </si>
  <si>
    <t xml:space="preserve">URL</t>
  </si>
  <si>
    <t xml:space="preserve">Credit</t>
  </si>
  <si>
    <t xml:space="preserve">Conflict</t>
  </si>
  <si>
    <t xml:space="preserve">Year from</t>
  </si>
  <si>
    <t xml:space="preserve">Year to</t>
  </si>
  <si>
    <t xml:space="preserve">2001–present</t>
  </si>
  <si>
    <t xml:space="preserve">Afghanistan</t>
  </si>
  <si>
    <t xml:space="preserve">Deforestation, wetland desiccation, falling water tables and wildlife loss</t>
  </si>
  <si>
    <t xml:space="preserve">Byproduct</t>
  </si>
  <si>
    <t xml:space="preserve">Decades of war weakened environmental governance and accelerated extraction of timber and other resources. UNEP found widespread loss of vegetation, erosion, declining water tables and wetlands.</t>
  </si>
  <si>
    <t xml:space="preserve">UNEP - UN Environment Programme</t>
  </si>
  <si>
    <t xml:space="preserve">AF</t>
  </si>
  <si>
    <t xml:space="preserve">001</t>
  </si>
  <si>
    <t xml:space="preserve">War in Afghanistan</t>
  </si>
  <si>
    <t xml:space="preserve">Iraq War – Al-Mishraq sulphur fire</t>
  </si>
  <si>
    <t xml:space="preserve">Enormous sulphur-dioxide release</t>
  </si>
  <si>
    <t xml:space="preserve">Deliberate</t>
  </si>
  <si>
    <t xml:space="preserve">A sulphur plant near Mosul burned for almost a month, releasing roughly 21,000–23,000 tonnes of SO₂ per day at its peak. The plume travelled across several countries and damaged vegetation and human health.</t>
  </si>
  <si>
    <t xml:space="preserve">IQ</t>
  </si>
  <si>
    <t xml:space="preserve">002</t>
  </si>
  <si>
    <t xml:space="preserve">Iraq War and insurgency</t>
  </si>
  <si>
    <t xml:space="preserve">2003 onward</t>
  </si>
  <si>
    <t xml:space="preserve">Iraq</t>
  </si>
  <si>
    <t xml:space="preserve">Industrial contamination, oil fires, military waste and toxic sites</t>
  </si>
  <si>
    <t xml:space="preserve">Hybrid</t>
  </si>
  <si>
    <t xml:space="preserve">UNEP identified several thousand potentially contaminated sites arising from military activity, damaged industry and post-war looting, including hazardous chemicals, oil, heavy metals and military scrap.</t>
  </si>
  <si>
    <t xml:space="preserve">003</t>
  </si>
  <si>
    <t xml:space="preserve">2000s–present</t>
  </si>
  <si>
    <t xml:space="preserve">Eastern DRC / Virunga</t>
  </si>
  <si>
    <t xml:space="preserve">Deforestation, charcoal extraction and poaching linked to armed groups</t>
  </si>
  <si>
    <t xml:space="preserve">Armed groups have financed themselves through charcoal and natural-resource exploitation. Conflict has reduced conservation control and placed internationally important habitats under sustained pressure.</t>
  </si>
  <si>
    <t xml:space="preserve">UNESCO World Heritage Centre</t>
  </si>
  <si>
    <t xml:space="preserve">CD</t>
  </si>
  <si>
    <t xml:space="preserve">004</t>
  </si>
  <si>
    <t xml:space="preserve">Kivu / Ituri conflicts and M23</t>
  </si>
  <si>
    <t xml:space="preserve">2003–present</t>
  </si>
  <si>
    <t xml:space="preserve">Darfur / Sudan</t>
  </si>
  <si>
    <t xml:space="preserve">Deforestation, land degradation and pressure on water/resources</t>
  </si>
  <si>
    <t xml:space="preserve">Mass displacement and collapse of resource governance increased fuelwood extraction, grazing and degradation around settlements and camps. UNEP has identified a strong conflict–environment relationship in Sudan.</t>
  </si>
  <si>
    <t xml:space="preserve">WEDocs</t>
  </si>
  <si>
    <t xml:space="preserve">SD</t>
  </si>
  <si>
    <t xml:space="preserve">005</t>
  </si>
  <si>
    <t xml:space="preserve">Darfur conflict</t>
  </si>
  <si>
    <t xml:space="preserve">Lebanon War – Jiyeh power station</t>
  </si>
  <si>
    <t xml:space="preserve">Mediterranean oil spill</t>
  </si>
  <si>
    <t xml:space="preserve">Bombing of fuel tanks released about 12,000–15,000 tonnes of heavy fuel oil. More than 70 sites and roughly 150 km of Lebanese coastline were contaminated, with pollution reaching Syria.</t>
  </si>
  <si>
    <t xml:space="preserve">Ministry of Education Lebanon</t>
  </si>
  <si>
    <t xml:space="preserve">LB</t>
  </si>
  <si>
    <t xml:space="preserve">006</t>
  </si>
  <si>
    <t xml:space="preserve">Second Lebanon War</t>
  </si>
  <si>
    <t xml:space="preserve">2008–09</t>
  </si>
  <si>
    <t xml:space="preserve">Gaza conflict</t>
  </si>
  <si>
    <t xml:space="preserve">Sewage pollution, asbestos-contaminated rubble and damaged infrastructure</t>
  </si>
  <si>
    <t xml:space="preserve">UNEP documented conflict debris containing hazardous substances and sewage pollution of coastal waters, demonstrating how destruction of the built environment becomes an environmental problem long after combat stops.</t>
  </si>
  <si>
    <t xml:space="preserve">PS</t>
  </si>
  <si>
    <t xml:space="preserve">007</t>
  </si>
  <si>
    <t xml:space="preserve">Gaza wars and Israeli–Palestinian conflict</t>
  </si>
  <si>
    <t xml:space="preserve">2011–present</t>
  </si>
  <si>
    <t xml:space="preserve">Syrian Civil War</t>
  </si>
  <si>
    <t xml:space="preserve">Oil pollution and improvised refining</t>
  </si>
  <si>
    <t xml:space="preserve">Bombing and seizure of conventional refineries encouraged thousands of makeshift oil refineries. Satellite analysis identified around 5,800 installations at just five sites by 2016, contaminating air, soil, farmland and potentially groundwater.</t>
  </si>
  <si>
    <t xml:space="preserve">CEOBS</t>
  </si>
  <si>
    <t xml:space="preserve">SY</t>
  </si>
  <si>
    <t xml:space="preserve">008</t>
  </si>
  <si>
    <t xml:space="preserve">Syrian civil war</t>
  </si>
  <si>
    <t xml:space="preserve">Syria</t>
  </si>
  <si>
    <t xml:space="preserve">Urban rubble and destruction of water/sewage infrastructure</t>
  </si>
  <si>
    <t xml:space="preserve">Aleppo alone was estimated to contain around 14.9 million tonnes of conflict debris; industrial areas and sewage, electricity and water systems were also extensively damaged.</t>
  </si>
  <si>
    <t xml:space="preserve">009</t>
  </si>
  <si>
    <t xml:space="preserve">2013–present</t>
  </si>
  <si>
    <t xml:space="preserve">South Sudan</t>
  </si>
  <si>
    <t xml:space="preserve">Oil-field pollution near sensitive wetlands</t>
  </si>
  <si>
    <t xml:space="preserve">Conflict damaged oil infrastructure while weak regulation led to spills, fires and soil/water pollution in and around oil-producing landscapes connected to the Sudd, one of the world's largest wetlands.</t>
  </si>
  <si>
    <t xml:space="preserve">SS</t>
  </si>
  <si>
    <t xml:space="preserve">010</t>
  </si>
  <si>
    <t xml:space="preserve">South Sudanese civil war</t>
  </si>
  <si>
    <t xml:space="preserve">2014–present</t>
  </si>
  <si>
    <t xml:space="preserve">Donbas, Ukraine</t>
  </si>
  <si>
    <t xml:space="preserve">Flooded coal mines and groundwater contamination</t>
  </si>
  <si>
    <t xml:space="preserve">Fighting and abandonment of mines caused pumping systems to fail. Flooded mines create long-term risks of contaminated minewater migrating into groundwater and rivers.</t>
  </si>
  <si>
    <t xml:space="preserve">UA</t>
  </si>
  <si>
    <t xml:space="preserve">011</t>
  </si>
  <si>
    <t xml:space="preserve">Russo-Ukrainian war</t>
  </si>
  <si>
    <t xml:space="preserve">2015–present</t>
  </si>
  <si>
    <t xml:space="preserve">Yemen</t>
  </si>
  <si>
    <t xml:space="preserve">Destruction of water and sanitation systems</t>
  </si>
  <si>
    <t xml:space="preserve">Water infrastructure has repeatedly been damaged while electricity and maintenance systems collapsed. Waste disposal deterioration and sewage problems compounded one of the world's severest water crises.</t>
  </si>
  <si>
    <t xml:space="preserve">ICRC</t>
  </si>
  <si>
    <t xml:space="preserve">YE</t>
  </si>
  <si>
    <t xml:space="preserve">012</t>
  </si>
  <si>
    <t xml:space="preserve">Yemen civil war and Houthi conflict</t>
  </si>
  <si>
    <t xml:space="preserve">2016–17</t>
  </si>
  <si>
    <t xml:space="preserve">Battle for Mosul / Qayyarah, Iraq</t>
  </si>
  <si>
    <t xml:space="preserve">Oil-well and sulphur fires</t>
  </si>
  <si>
    <t xml:space="preserve">Retreating Islamic State forces ignited 19 oil wells and sulphur stocks. Toxic smoke covered large areas and more than 1,000 people required treatment for suffocation following the sulphur fire.</t>
  </si>
  <si>
    <t xml:space="preserve">013</t>
  </si>
  <si>
    <t xml:space="preserve">War against Islamic State (Iraq &amp; Syria)</t>
  </si>
  <si>
    <t xml:space="preserve">2000s–2016+</t>
  </si>
  <si>
    <t xml:space="preserve">Colombian armed conflict</t>
  </si>
  <si>
    <t xml:space="preserve">Illegal mining, mercury contamination and deforestation</t>
  </si>
  <si>
    <t xml:space="preserve">Armed groups used mining and natural-resource extraction as revenue sources. UNEP identifies unregulated mining, illicit crops, deforestation and mercury use as important environmental consequences of the conflict economy.</t>
  </si>
  <si>
    <t xml:space="preserve">CO</t>
  </si>
  <si>
    <t xml:space="preserve">014</t>
  </si>
  <si>
    <t xml:space="preserve">Nord Stream pipeline explosions</t>
  </si>
  <si>
    <t xml:space="preserve">Exceptional methane release</t>
  </si>
  <si>
    <t xml:space="preserve">The pipeline ruptures released up to 485,000 tonnes of methane, which UNEP describes as the largest known human-caused methane release from a single event. It is best considered conflict-adjacent sabotage, however, rather than straightforward battlefield environmental damage.</t>
  </si>
  <si>
    <t xml:space="preserve">DK,SE</t>
  </si>
  <si>
    <t xml:space="preserve">015</t>
  </si>
  <si>
    <t xml:space="preserve">Nord Stream pipeline sabotage</t>
  </si>
  <si>
    <t xml:space="preserve">2022–present</t>
  </si>
  <si>
    <t xml:space="preserve">Full-scale war in Ukraine</t>
  </si>
  <si>
    <t xml:space="preserve">Industrial, chemical, agricultural and ecological contamination</t>
  </si>
  <si>
    <t xml:space="preserve">Fighting has affected oil depots, refineries, chemical plants, power stations, mines, sewage works, forests, protected areas and agricultural soils. UNEP describes the resulting situation as a multidimensional environmental crisis.</t>
  </si>
  <si>
    <t xml:space="preserve">016</t>
  </si>
  <si>
    <t xml:space="preserve">Ukraine</t>
  </si>
  <si>
    <t xml:space="preserve">Landmines, unexploded ordnance and military contamination</t>
  </si>
  <si>
    <t xml:space="preserve">Vast areas of agricultural and natural land are contaminated with mines, explosives, propellants, metals and damaged military equipment, complicating farming, conservation and ecological recovery for decades.</t>
  </si>
  <si>
    <t xml:space="preserve">017</t>
  </si>
  <si>
    <t xml:space="preserve">June 2023</t>
  </si>
  <si>
    <t xml:space="preserve">Ukraine – Kakhovka Dam</t>
  </si>
  <si>
    <t xml:space="preserve">Catastrophic hydrological and ecological change</t>
  </si>
  <si>
    <t xml:space="preserve">The breach flooded about 620 km², while the reservoir upstream disappeared across a much larger area. UNEP found hydrological, geomorphological, chemical and ecological impacts, including damage to protected habitats, some likely irreversible.</t>
  </si>
  <si>
    <t xml:space="preserve">018</t>
  </si>
  <si>
    <t xml:space="preserve">2023–25</t>
  </si>
  <si>
    <t xml:space="preserve">Gaza war</t>
  </si>
  <si>
    <t xml:space="preserve">Extraordinary quantities of conflict rubble</t>
  </si>
  <si>
    <t xml:space="preserve">By mid-2025 UNEP estimated more than 61 million tonnes of debris, some contaminated with asbestos, heavy metals, industrial chemicals and unexploded ordnance.</t>
  </si>
  <si>
    <t xml:space="preserve">019</t>
  </si>
  <si>
    <t xml:space="preserve">Destruction of agricultural ecosystems</t>
  </si>
  <si>
    <t xml:space="preserve">UNEP estimated losses of 97% of tree crops, 95% of shrubland and 82% of annual crops, alongside soil compaction, damaged water infrastructure and pollution risks to the coastal aquifer.</t>
  </si>
  <si>
    <t xml:space="preserve">020</t>
  </si>
  <si>
    <t xml:space="preserve">2023–present</t>
  </si>
  <si>
    <t xml:space="preserve">Sudanese Civil War</t>
  </si>
  <si>
    <t xml:space="preserve">Oil refinery fires, industrial contamination and deforestation</t>
  </si>
  <si>
    <t xml:space="preserve">Repeated fighting at the Al-Jaili refinery caused large fires and contamination; a January 2025 fire produced a smoke plume extending more than 300 km. Conflict-related fuel shortages have also contributed to vegetation loss through charcoal and fuelwood extraction.</t>
  </si>
  <si>
    <t xml:space="preserve">021</t>
  </si>
  <si>
    <t xml:space="preserve">Sudanese civil war (RSF vs SAF)</t>
  </si>
  <si>
    <t xml:space="preserve">February–March 2024</t>
  </si>
  <si>
    <t xml:space="preserve">Red Sea conflict – MV Rubymar</t>
  </si>
  <si>
    <t xml:space="preserve">Oil/fuel pollution and fertiliser contamination risk</t>
  </si>
  <si>
    <t xml:space="preserve">A Houthi missile strike ultimately sank the vessel with around 21,000 tonnes of ammonium phosphate sulphate fertiliser aboard. It had already produced a long fuel slick, while the cargo threatened coral ecosystems through nutrient pollution and oxygen depletion.</t>
  </si>
  <si>
    <t xml:space="preserve">Reuters</t>
  </si>
  <si>
    <t xml:space="preserve">022</t>
  </si>
  <si>
    <t xml:space="preserve">2024–present</t>
  </si>
  <si>
    <t xml:space="preserve">Ukraine – fibre-optic FPV drones</t>
  </si>
  <si>
    <t xml:space="preserve">Kilometres of persistent plastic cabling deposited across landscapes</t>
  </si>
  <si>
    <t xml:space="preserve">This is particularly interesting because it is a genuinely new form of conflict pollution. Individual drones can carry 5–20 km of cable, which is simply left across woodland, fields and waterways. Potential impacts include wildlife entanglement, microplastics, PFAS contamination and interference with agriculture and mine clearance. The ecological scale is not yet quantified, so it should be described as an emerging environmental threat, rather than equated with Kakhovka.</t>
  </si>
  <si>
    <t xml:space="preserve">023</t>
  </si>
  <si>
    <t xml:space="preserve">Iran / wider Middle-East conflict</t>
  </si>
  <si>
    <t xml:space="preserve">Oil-facility fires and atmospheric pollution</t>
  </si>
  <si>
    <t xml:space="preserve">UNEP has confirmed strikes on oil facilities, including around urban areas, producing large smoke plumes containing hazardous compounds. The conflict is still developing, so the eventual ecological scale cannot yet be assessed reliably.</t>
  </si>
  <si>
    <t xml:space="preserve">IR</t>
  </si>
  <si>
    <t xml:space="preserve">024</t>
  </si>
  <si>
    <t xml:space="preserve">2026 Iran war</t>
  </si>
  <si>
    <t xml:space="preserve">Years</t>
  </si>
  <si>
    <t xml:space="preserve">Countries involved (ISO)</t>
  </si>
  <si>
    <t xml:space="preserve">Notes</t>
  </si>
  <si>
    <t xml:space="preserve">2001–2021</t>
  </si>
  <si>
    <t xml:space="preserve">AF,PK,US</t>
  </si>
  <si>
    <t xml:space="preserve">US-led intervention against the Taliban; Pakistan border spillover</t>
  </si>
  <si>
    <t xml:space="preserve">2003–2011</t>
  </si>
  <si>
    <t xml:space="preserve">IQ,IR,SY,US</t>
  </si>
  <si>
    <t xml:space="preserve">US-led invasion, occupation and insurgency</t>
  </si>
  <si>
    <t xml:space="preserve">2014–2019</t>
  </si>
  <si>
    <t xml:space="preserve">IQ,SY,IR,TR</t>
  </si>
  <si>
    <t xml:space="preserve">Anti-ISIS campaign; Iran and Turkey active</t>
  </si>
  <si>
    <t xml:space="preserve">2011–2024</t>
  </si>
  <si>
    <t xml:space="preserve">SY,IR,LB,IL,TR,RU</t>
  </si>
  <si>
    <t xml:space="preserve">Foreign involvement by Iran, Hezbollah, Turkey, Russia, Israel</t>
  </si>
  <si>
    <t xml:space="preserve">2006</t>
  </si>
  <si>
    <t xml:space="preserve">IL,LB</t>
  </si>
  <si>
    <t xml:space="preserve">Israel–Hezbollah war</t>
  </si>
  <si>
    <t xml:space="preserve">2008–present</t>
  </si>
  <si>
    <t xml:space="preserve">IL,PS,LB,IR,YE</t>
  </si>
  <si>
    <t xml:space="preserve">Gaza wars 2008–09, 2014, 2023–; regional spillover</t>
  </si>
  <si>
    <t xml:space="preserve">Israel–Hezbollah war 2023–24</t>
  </si>
  <si>
    <t xml:space="preserve">2023–2024</t>
  </si>
  <si>
    <t xml:space="preserve">IL,LB,IR</t>
  </si>
  <si>
    <t xml:space="preserve">Cross-border war and 2024 Israeli invasion</t>
  </si>
  <si>
    <t xml:space="preserve">2026</t>
  </si>
  <si>
    <t xml:space="preserve">IR,IL</t>
  </si>
  <si>
    <t xml:space="preserve">Strikes involving Iran and Israel; ongoing</t>
  </si>
  <si>
    <t xml:space="preserve">Second Congo War</t>
  </si>
  <si>
    <t xml:space="preserve">1998–2003</t>
  </si>
  <si>
    <t xml:space="preserve">CD,RW,UG,BI,AO</t>
  </si>
  <si>
    <t xml:space="preserve">Regional war overlapping the early 2000s</t>
  </si>
  <si>
    <t xml:space="preserve">2004–present</t>
  </si>
  <si>
    <t xml:space="preserve">CD,RW,UG,BI</t>
  </si>
  <si>
    <t xml:space="preserve">Eastern DRC armed groups and Rwanda-backed M23</t>
  </si>
  <si>
    <t xml:space="preserve">ADF and LRA insurgencies</t>
  </si>
  <si>
    <t xml:space="preserve">CD,UG,SS,CF</t>
  </si>
  <si>
    <t xml:space="preserve">Ugandan-origin rebel groups across the DRC/CAR border</t>
  </si>
  <si>
    <t xml:space="preserve">2003–2020</t>
  </si>
  <si>
    <t xml:space="preserve">SD,TD,CF</t>
  </si>
  <si>
    <t xml:space="preserve">Darfur war and Chad spillover</t>
  </si>
  <si>
    <t xml:space="preserve">Second Sudanese civil war aftermath / South Kordofan &amp; Blue Nile</t>
  </si>
  <si>
    <t xml:space="preserve">SD,SS</t>
  </si>
  <si>
    <t xml:space="preserve">Insurgency along the Sudan–South Sudan border</t>
  </si>
  <si>
    <t xml:space="preserve">SD,TD,SS,LY</t>
  </si>
  <si>
    <t xml:space="preserve">Army–RSF war; regional supply lines</t>
  </si>
  <si>
    <t xml:space="preserve">2013–2020</t>
  </si>
  <si>
    <t xml:space="preserve">SS,UG,SD</t>
  </si>
  <si>
    <t xml:space="preserve">Intra-South Sudan war with Ugandan intervention</t>
  </si>
  <si>
    <t xml:space="preserve">Eritrean–Ethiopian border war</t>
  </si>
  <si>
    <t xml:space="preserve">1998–2000, tension to 2018</t>
  </si>
  <si>
    <t xml:space="preserve">ER,ET</t>
  </si>
  <si>
    <t xml:space="preserve">Border war</t>
  </si>
  <si>
    <t xml:space="preserve">Tigray war</t>
  </si>
  <si>
    <t xml:space="preserve">2020–2022</t>
  </si>
  <si>
    <t xml:space="preserve">ET,ER</t>
  </si>
  <si>
    <t xml:space="preserve">Ethiopia, Tigrayan forces and Eritrea</t>
  </si>
  <si>
    <t xml:space="preserve">Oromia and Amhara insurgencies</t>
  </si>
  <si>
    <t xml:space="preserve">2018–present</t>
  </si>
  <si>
    <t xml:space="preserve">ET</t>
  </si>
  <si>
    <t xml:space="preserve">Internal insurgencies</t>
  </si>
  <si>
    <t xml:space="preserve">Somali civil war and al-Shabaab</t>
  </si>
  <si>
    <t xml:space="preserve">2006–present</t>
  </si>
  <si>
    <t xml:space="preserve">SO,KE,ET,UG,DJ,US</t>
  </si>
  <si>
    <t xml:space="preserve">AMISOM/ATMIS and neighbouring states</t>
  </si>
  <si>
    <t xml:space="preserve">Kashmir conflict</t>
  </si>
  <si>
    <t xml:space="preserve">IN,PK,CN</t>
  </si>
  <si>
    <t xml:space="preserve">India–Pakistan and India–China border tensions</t>
  </si>
  <si>
    <t xml:space="preserve">Naxalite–Maoist insurgency</t>
  </si>
  <si>
    <t xml:space="preserve">IN</t>
  </si>
  <si>
    <t xml:space="preserve">Internal insurgency</t>
  </si>
  <si>
    <t xml:space="preserve">Northeast India insurgencies / Manipur</t>
  </si>
  <si>
    <t xml:space="preserve">IN,MM</t>
  </si>
  <si>
    <t xml:space="preserve">Insurgencies across the Myanmar border</t>
  </si>
  <si>
    <t xml:space="preserve">Myanmar internal conflict (Rohingya, Kachin, Karen)</t>
  </si>
  <si>
    <t xml:space="preserve">2000s–2020</t>
  </si>
  <si>
    <t xml:space="preserve">MM,BD</t>
  </si>
  <si>
    <t xml:space="preserve">Ethnic armed conflicts</t>
  </si>
  <si>
    <t xml:space="preserve">Myanmar civil war</t>
  </si>
  <si>
    <t xml:space="preserve">2021–present</t>
  </si>
  <si>
    <t xml:space="preserve">MM,CN,TH,IN</t>
  </si>
  <si>
    <t xml:space="preserve">Post-coup civil war</t>
  </si>
  <si>
    <t xml:space="preserve">Boko Haram insurgency</t>
  </si>
  <si>
    <t xml:space="preserve">2009–present</t>
  </si>
  <si>
    <t xml:space="preserve">NG,NE,TD,CM</t>
  </si>
  <si>
    <t xml:space="preserve">Lake Chad basin</t>
  </si>
  <si>
    <t xml:space="preserve">Mali war and Sahel insurgency</t>
  </si>
  <si>
    <t xml:space="preserve">2012–present</t>
  </si>
  <si>
    <t xml:space="preserve">ML,BF,NE,MR,DZ,CI,BJ,TG,SN,RU</t>
  </si>
  <si>
    <t xml:space="preserve">Jihadist insurgency; Russian Wagner/Africa Corps</t>
  </si>
  <si>
    <t xml:space="preserve">Libyan conflicts</t>
  </si>
  <si>
    <t xml:space="preserve">LY,EG,TR,RU</t>
  </si>
  <si>
    <t xml:space="preserve">Civil wars and foreign backers</t>
  </si>
  <si>
    <t xml:space="preserve">2000s–2016</t>
  </si>
  <si>
    <t xml:space="preserve">CO,VE,EC</t>
  </si>
  <si>
    <t xml:space="preserve">FARC/ELN conflict; Venezuelan and Ecuadorian border</t>
  </si>
  <si>
    <t xml:space="preserve">YE,SA,IR,IL</t>
  </si>
  <si>
    <t xml:space="preserve">Saudi-led intervention; Red Sea attacks</t>
  </si>
  <si>
    <t xml:space="preserve">UA,RU,BY</t>
  </si>
  <si>
    <t xml:space="preserve">Donbas war and full-scale invasion</t>
  </si>
  <si>
    <t xml:space="preserve">Chechen wars and North Caucasus insurgency</t>
  </si>
  <si>
    <t xml:space="preserve">1999–2017</t>
  </si>
  <si>
    <t xml:space="preserve">RU</t>
  </si>
  <si>
    <t xml:space="preserve">Second Chechen War and insurgency</t>
  </si>
  <si>
    <t xml:space="preserve">Russo-Georgian war</t>
  </si>
  <si>
    <t xml:space="preserve">2008</t>
  </si>
  <si>
    <t xml:space="preserve">GE,RU</t>
  </si>
  <si>
    <t xml:space="preserve">August 2008 war</t>
  </si>
  <si>
    <t xml:space="preserve">Nagorno-Karabakh conflict</t>
  </si>
  <si>
    <t xml:space="preserve">2020–2023</t>
  </si>
  <si>
    <t xml:space="preserve">AM,AZ,TR</t>
  </si>
  <si>
    <t xml:space="preserve">Wars of 2020 and 2023</t>
  </si>
  <si>
    <t xml:space="preserve">Mexican drug war</t>
  </si>
  <si>
    <t xml:space="preserve">MX,US</t>
  </si>
  <si>
    <t xml:space="preserve">Cartel violence</t>
  </si>
  <si>
    <t xml:space="preserve">Insurgency in Southern Thailand</t>
  </si>
  <si>
    <t xml:space="preserve">TH,MY</t>
  </si>
  <si>
    <t xml:space="preserve">Deep South insurgency</t>
  </si>
  <si>
    <t xml:space="preserve">Insurgency in the Philippines (Moro and NPA)</t>
  </si>
  <si>
    <t xml:space="preserve">PH,MY</t>
  </si>
  <si>
    <t xml:space="preserve">Mindanao conflict and Communist insurgency</t>
  </si>
  <si>
    <t xml:space="preserve">Papua conflict and Indonesian insurgencies</t>
  </si>
  <si>
    <t xml:space="preserve">ID,PG</t>
  </si>
  <si>
    <t xml:space="preserve">Aceh, Papua, Poso</t>
  </si>
  <si>
    <t xml:space="preserve">Turkey–PKK conflict</t>
  </si>
  <si>
    <t xml:space="preserve">1984–2025</t>
  </si>
  <si>
    <t xml:space="preserve">TR,IQ,SY</t>
  </si>
  <si>
    <t xml:space="preserve">Kurdish insurgency</t>
  </si>
  <si>
    <t xml:space="preserve">Iran–Pakistan and Baloch insurgencies</t>
  </si>
  <si>
    <t xml:space="preserve">IR,PK</t>
  </si>
  <si>
    <t xml:space="preserve">Balochistan</t>
  </si>
  <si>
    <t xml:space="preserve">Sri Lankan Civil War (final phase)</t>
  </si>
  <si>
    <t xml:space="preserve">2000–2009</t>
  </si>
  <si>
    <t xml:space="preserve">LK,IN</t>
  </si>
  <si>
    <t xml:space="preserve">Final phase of the war</t>
  </si>
  <si>
    <t xml:space="preserve">Nepalese Civil War</t>
  </si>
  <si>
    <t xml:space="preserve">1996–2006</t>
  </si>
  <si>
    <t xml:space="preserve">NP,IN</t>
  </si>
  <si>
    <t xml:space="preserve">Maoist insurgency</t>
  </si>
  <si>
    <t xml:space="preserve">Second Ivorian Civil War and Ivorian crisis</t>
  </si>
  <si>
    <t xml:space="preserve">2002–2011</t>
  </si>
  <si>
    <t xml:space="preserve">CI,LR,BF</t>
  </si>
  <si>
    <t xml:space="preserve">Ivorian civil wars</t>
  </si>
  <si>
    <t xml:space="preserve">Liberian civil wars</t>
  </si>
  <si>
    <t xml:space="preserve">1999–2003</t>
  </si>
  <si>
    <t xml:space="preserve">LR,SL,GN</t>
  </si>
  <si>
    <t xml:space="preserve">Second Liberian civil war</t>
  </si>
  <si>
    <t xml:space="preserve">Central African Republic conflict</t>
  </si>
  <si>
    <t xml:space="preserve">CF,CM,TD,SD,RU</t>
  </si>
  <si>
    <t xml:space="preserve">CAR civil war</t>
  </si>
  <si>
    <t xml:space="preserve">Chad civil wars</t>
  </si>
  <si>
    <t xml:space="preserve">2005–2010</t>
  </si>
  <si>
    <t xml:space="preserve">TD,SD</t>
  </si>
  <si>
    <t xml:space="preserve">Chadian rebels and Sudan</t>
  </si>
  <si>
    <t xml:space="preserve">Casamance conflict</t>
  </si>
  <si>
    <t xml:space="preserve">1982–2022</t>
  </si>
  <si>
    <t xml:space="preserve">SN,GM</t>
  </si>
  <si>
    <t xml:space="preserve">Senegal</t>
  </si>
  <si>
    <t xml:space="preserve">Western Sahara conflict</t>
  </si>
  <si>
    <t xml:space="preserve">1975–present</t>
  </si>
  <si>
    <t xml:space="preserve">MA,EH,DZ,MR</t>
  </si>
  <si>
    <t xml:space="preserve">Polisario</t>
  </si>
  <si>
    <t xml:space="preserve">Haiti gang conflict</t>
  </si>
  <si>
    <t xml:space="preserve">HT</t>
  </si>
  <si>
    <t xml:space="preserve">Gang war</t>
  </si>
  <si>
    <t xml:space="preserve">Peruvian insurgency (Shining Path remnants)</t>
  </si>
  <si>
    <t xml:space="preserve">PE</t>
  </si>
  <si>
    <t xml:space="preserve">VRAEM</t>
  </si>
  <si>
    <t xml:space="preserve">Paraguayan People's Army insurgency</t>
  </si>
  <si>
    <t xml:space="preserve">PY</t>
  </si>
  <si>
    <t xml:space="preserve">EPP</t>
  </si>
  <si>
    <t xml:space="preserve">Mozambique insurgency (Cabo Delgado)</t>
  </si>
  <si>
    <t xml:space="preserve">2017–present</t>
  </si>
  <si>
    <t xml:space="preserve">MZ,RW</t>
  </si>
  <si>
    <t xml:space="preserve">Insurgency; Rwandan troops</t>
  </si>
  <si>
    <t xml:space="preserve">Kenya–al-Shabaab conflict</t>
  </si>
  <si>
    <t xml:space="preserve">KE,SO</t>
  </si>
  <si>
    <t xml:space="preserve">Cross-border</t>
  </si>
  <si>
    <t xml:space="preserve">Kyrgyz–Tajik border conflict</t>
  </si>
  <si>
    <t xml:space="preserve">2021–2022</t>
  </si>
  <si>
    <t xml:space="preserve">KG,TJ</t>
  </si>
  <si>
    <t xml:space="preserve">Border clashes</t>
  </si>
  <si>
    <t xml:space="preserve">Cambodian–Thai border conflict</t>
  </si>
  <si>
    <t xml:space="preserve">2008–2011, 2025</t>
  </si>
  <si>
    <t xml:space="preserve">KH,TH</t>
  </si>
  <si>
    <t xml:space="preserve">Solomon Islands unrest</t>
  </si>
  <si>
    <t xml:space="preserve">2000–2003</t>
  </si>
  <si>
    <t xml:space="preserve">SB</t>
  </si>
  <si>
    <t xml:space="preserve">Internal</t>
  </si>
  <si>
    <t xml:space="preserve">Timor-Leste crisis</t>
  </si>
  <si>
    <t xml:space="preserve">TL</t>
  </si>
  <si>
    <t xml:space="preserve">Egyptian insurgency (Sinai)</t>
  </si>
  <si>
    <t xml:space="preserve">2011–2022</t>
  </si>
  <si>
    <t xml:space="preserve">EG,IL</t>
  </si>
  <si>
    <t xml:space="preserve">Sinai insurgency</t>
  </si>
  <si>
    <t xml:space="preserve">Gulf of Aden piracy</t>
  </si>
  <si>
    <t xml:space="preserve">2005–2012</t>
  </si>
  <si>
    <t xml:space="preserve">SO,DJ,SA</t>
  </si>
  <si>
    <t xml:space="preserve">Piracy and naval operations</t>
  </si>
  <si>
    <t xml:space="preserve">Eritrea–Djibouti border conflict</t>
  </si>
  <si>
    <t xml:space="preserve">ER,DJ</t>
  </si>
  <si>
    <t xml:space="preserve">Border clash</t>
  </si>
  <si>
    <t xml:space="preserve">Serbia–Kosovo / Macedonia insurgency</t>
  </si>
  <si>
    <t xml:space="preserve">2000–2001</t>
  </si>
  <si>
    <t xml:space="preserve">RS,MK</t>
  </si>
  <si>
    <t xml:space="preserve">Albanian insurgency</t>
  </si>
  <si>
    <t xml:space="preserve">Taliban insurgency and Afghan–Pakistan clashes</t>
  </si>
  <si>
    <t xml:space="preserve">AF,PK</t>
  </si>
  <si>
    <t xml:space="preserve">Post-2021 insurgency and border fighting</t>
  </si>
  <si>
    <t xml:space="preserve">Second Intifada and Fatah–Hamas conflict</t>
  </si>
  <si>
    <t xml:space="preserve">2000–2007</t>
  </si>
  <si>
    <t xml:space="preserve">PS,IL</t>
  </si>
  <si>
    <t xml:space="preserve">Second Intifada and Palestinian internal conflict</t>
  </si>
  <si>
    <t xml:space="preserve">Colombia–Venezuela border and ELN conflict</t>
  </si>
  <si>
    <t xml:space="preserve">2010s–present</t>
  </si>
  <si>
    <t xml:space="preserve">CO,VE</t>
  </si>
  <si>
    <t xml:space="preserve">ELN and dissident groups across the border</t>
  </si>
  <si>
    <t xml:space="preserve">Azawad / northern Mali rebellion</t>
  </si>
  <si>
    <t xml:space="preserve">2012–2013</t>
  </si>
  <si>
    <t xml:space="preserve">ML,NE</t>
  </si>
  <si>
    <t xml:space="preserve">Tuareg rebellion and French-led intervention</t>
  </si>
  <si>
    <t xml:space="preserve">Niger Delta and herder–farmer conflicts</t>
  </si>
  <si>
    <t xml:space="preserve">NG</t>
  </si>
  <si>
    <t xml:space="preserve">Militancy and communal violence</t>
  </si>
  <si>
    <t xml:space="preserve">Sulu and Marawi conflicts</t>
  </si>
  <si>
    <t xml:space="preserve">2013–2017</t>
  </si>
  <si>
    <t xml:space="preserve">Sabah standoff and Marawi siege</t>
  </si>
  <si>
    <t xml:space="preserve">2003 Duar war (Operation All Clear)</t>
  </si>
  <si>
    <t xml:space="preserve">2003</t>
  </si>
  <si>
    <t xml:space="preserve">BT,IN</t>
  </si>
  <si>
    <t xml:space="preserve">Bhutanese offensive against Assamese militants</t>
  </si>
  <si>
    <t xml:space="preserve">Islamic Movement of Uzbekistan insurgency</t>
  </si>
  <si>
    <t xml:space="preserve">1999–2001</t>
  </si>
  <si>
    <t xml:space="preserve">UZ,KG,TJ</t>
  </si>
  <si>
    <t xml:space="preserve">Batken and Central Asian incursions</t>
  </si>
  <si>
    <t xml:space="preserve">2022</t>
  </si>
  <si>
    <t xml:space="preserve">DK,SE,RU</t>
  </si>
  <si>
    <t xml:space="preserve">Conflict-adjacent: explosions in Danish and Swedish waters; shown red on the conflicts map</t>
  </si>
  <si>
    <t xml:space="preserve">Republic of the Congo Pool conflict</t>
  </si>
  <si>
    <t xml:space="preserve">2016–2018</t>
  </si>
  <si>
    <t xml:space="preserve">CG,CD</t>
  </si>
  <si>
    <t xml:space="preserve">Pool region insurgency</t>
  </si>
  <si>
    <t xml:space="preserve">Ambon and Poso sectarian conflicts</t>
  </si>
  <si>
    <t xml:space="preserve">1999–2007</t>
  </si>
  <si>
    <t xml:space="preserve">ID</t>
  </si>
  <si>
    <t xml:space="preserve">Sectarian violence in Indonesia</t>
  </si>
  <si>
    <t xml:space="preserve">Algerian and Moroccan Islamist insurgencies</t>
  </si>
  <si>
    <t xml:space="preserve">DZ,MA</t>
  </si>
  <si>
    <t xml:space="preserve">Maghreb insurgency</t>
  </si>
  <si>
    <t xml:space="preserve">Tier (1 = one conflict, 2 = two, 3 = three or more)</t>
  </si>
  <si>
    <t xml:space="preserve">Conflicts listed in Conflicts sheet</t>
  </si>
  <si>
    <t xml:space="preserve">IL</t>
  </si>
  <si>
    <t xml:space="preserve">MM</t>
  </si>
  <si>
    <t xml:space="preserve">ER</t>
  </si>
  <si>
    <t xml:space="preserve">LY</t>
  </si>
  <si>
    <t xml:space="preserve">ML</t>
  </si>
  <si>
    <t xml:space="preserve">PH</t>
  </si>
  <si>
    <t xml:space="preserve">PK</t>
  </si>
  <si>
    <t xml:space="preserve">SO</t>
  </si>
  <si>
    <t xml:space="preserve">TD</t>
  </si>
  <si>
    <t xml:space="preserve">TR</t>
  </si>
  <si>
    <t xml:space="preserve">AM</t>
  </si>
  <si>
    <t xml:space="preserve">AO</t>
  </si>
  <si>
    <t xml:space="preserve">AZ</t>
  </si>
  <si>
    <t xml:space="preserve">BF</t>
  </si>
  <si>
    <t xml:space="preserve">BI</t>
  </si>
  <si>
    <t xml:space="preserve">BJ</t>
  </si>
  <si>
    <t xml:space="preserve">BT</t>
  </si>
  <si>
    <t xml:space="preserve">CF</t>
  </si>
  <si>
    <t xml:space="preserve">CG</t>
  </si>
  <si>
    <t xml:space="preserve">CI</t>
  </si>
  <si>
    <t xml:space="preserve">CM</t>
  </si>
  <si>
    <t xml:space="preserve">CN</t>
  </si>
  <si>
    <t xml:space="preserve">DJ</t>
  </si>
  <si>
    <t xml:space="preserve">DK</t>
  </si>
  <si>
    <t xml:space="preserve">DZ</t>
  </si>
  <si>
    <t xml:space="preserve">EC</t>
  </si>
  <si>
    <t xml:space="preserve">EG</t>
  </si>
  <si>
    <t xml:space="preserve">EH</t>
  </si>
  <si>
    <t xml:space="preserve">GE</t>
  </si>
  <si>
    <t xml:space="preserve">GN</t>
  </si>
  <si>
    <t xml:space="preserve">KE</t>
  </si>
  <si>
    <t xml:space="preserve">KG</t>
  </si>
  <si>
    <t xml:space="preserve">KH</t>
  </si>
  <si>
    <t xml:space="preserve">LK</t>
  </si>
  <si>
    <t xml:space="preserve">LR</t>
  </si>
  <si>
    <t xml:space="preserve">MA</t>
  </si>
  <si>
    <t xml:space="preserve">MK</t>
  </si>
  <si>
    <t xml:space="preserve">MR</t>
  </si>
  <si>
    <t xml:space="preserve">MX</t>
  </si>
  <si>
    <t xml:space="preserve">MY</t>
  </si>
  <si>
    <t xml:space="preserve">MZ</t>
  </si>
  <si>
    <t xml:space="preserve">NE</t>
  </si>
  <si>
    <t xml:space="preserve">NP</t>
  </si>
  <si>
    <t xml:space="preserve">PG</t>
  </si>
  <si>
    <t xml:space="preserve">RS</t>
  </si>
  <si>
    <t xml:space="preserve">RW</t>
  </si>
  <si>
    <t xml:space="preserve">SA</t>
  </si>
  <si>
    <t xml:space="preserve">SE</t>
  </si>
  <si>
    <t xml:space="preserve">SL</t>
  </si>
  <si>
    <t xml:space="preserve">SN</t>
  </si>
  <si>
    <t xml:space="preserve">TG</t>
  </si>
  <si>
    <t xml:space="preserve">TH</t>
  </si>
  <si>
    <t xml:space="preserve">TJ</t>
  </si>
  <si>
    <t xml:space="preserve">UG</t>
  </si>
  <si>
    <t xml:space="preserve">US</t>
  </si>
  <si>
    <t xml:space="preserve">UZ</t>
  </si>
</sst>
</file>

<file path=xl/styles.xml><?xml version="1.0" encoding="utf-8"?>
<styleSheet xmlns="http://schemas.openxmlformats.org/spreadsheetml/2006/main">
  <numFmts count="3">
    <numFmt numFmtId="164" formatCode="General"/>
    <numFmt numFmtId="165" formatCode="@"/>
    <numFmt numFmtId="166" formatCode="mmm\-yy"/>
  </numFmts>
  <fonts count="6">
    <font>
      <sz val="11"/>
      <color theme="1"/>
      <name val="Calibri"/>
      <family val="2"/>
      <charset val="1"/>
    </font>
    <font>
      <sz val="10"/>
      <name val="Arial"/>
      <family val="0"/>
    </font>
    <font>
      <sz val="10"/>
      <name val="Arial"/>
      <family val="0"/>
    </font>
    <font>
      <sz val="10"/>
      <name val="Arial"/>
      <family val="0"/>
    </font>
    <font>
      <sz val="11"/>
      <name val="Calibri"/>
      <family val="2"/>
      <charset val="1"/>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6" fontId="5"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5" fontId="4" fillId="0"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2F5597"/>
      </font>
      <fill>
        <patternFill>
          <bgColor theme="8" tint="0.5999"/>
        </patternFill>
      </fill>
    </dxf>
    <dxf>
      <font>
        <color rgb="FF843C0B"/>
      </font>
      <fill>
        <patternFill>
          <bgColor theme="5" tint="0.5999"/>
        </patternFill>
      </fill>
    </dxf>
    <dxf>
      <font>
        <color rgb="FF222A35"/>
      </font>
      <fill>
        <patternFill>
          <bgColor theme="3" tint="0.5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DB9CA"/>
      <rgbColor rgb="FF808080"/>
      <rgbColor rgb="FF9999FF"/>
      <rgbColor rgb="FF993366"/>
      <rgbColor rgb="FFFFFFCC"/>
      <rgbColor rgb="FFCCFFFF"/>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843C0B"/>
      <rgbColor rgb="FF993366"/>
      <rgbColor rgb="FF2F5597"/>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true" showOutlineSymbols="true" defaultGridColor="true" view="normal" topLeftCell="A7" colorId="64" zoomScale="100" zoomScaleNormal="100" zoomScalePageLayoutView="100" workbookViewId="0">
      <selection pane="topLeft" activeCell="E15" activeCellId="0" sqref="E15"/>
    </sheetView>
  </sheetViews>
  <sheetFormatPr defaultColWidth="8.6796875" defaultRowHeight="14.25" zeroHeight="false" outlineLevelRow="0" outlineLevelCol="0"/>
  <cols>
    <col collapsed="false" customWidth="true" hidden="false" outlineLevel="0" max="1" min="1" style="1" width="16.33"/>
    <col collapsed="false" customWidth="true" hidden="false" outlineLevel="0" max="2" min="2" style="1" width="20.66"/>
    <col collapsed="false" customWidth="true" hidden="false" outlineLevel="0" max="4" min="3" style="1" width="34"/>
    <col collapsed="false" customWidth="true" hidden="false" outlineLevel="0" max="5" min="5" style="2" width="88.67"/>
    <col collapsed="false" customWidth="true" hidden="false" outlineLevel="0" max="10" min="6" style="3" width="22"/>
    <col collapsed="false" customWidth="true" hidden="false" outlineLevel="0" max="11" min="11" style="0" width="26"/>
    <col collapsed="false" customWidth="true" hidden="false" outlineLevel="0" max="13" min="12" style="0" width="11"/>
  </cols>
  <sheetData>
    <row r="1" customFormat="false" ht="15.75" hidden="false" customHeight="true" outlineLevel="0" collapsed="false">
      <c r="A1" s="4" t="s">
        <v>0</v>
      </c>
      <c r="B1" s="4" t="s">
        <v>1</v>
      </c>
      <c r="C1" s="4" t="s">
        <v>2</v>
      </c>
      <c r="D1" s="4" t="s">
        <v>3</v>
      </c>
      <c r="E1" s="4" t="s">
        <v>4</v>
      </c>
      <c r="F1" s="4" t="s">
        <v>5</v>
      </c>
      <c r="G1" s="4" t="s">
        <v>6</v>
      </c>
      <c r="H1" s="4" t="s">
        <v>7</v>
      </c>
      <c r="I1" s="4" t="s">
        <v>8</v>
      </c>
      <c r="J1" s="4" t="s">
        <v>9</v>
      </c>
      <c r="K1" s="4" t="s">
        <v>10</v>
      </c>
      <c r="L1" s="4" t="s">
        <v>11</v>
      </c>
      <c r="M1" s="4" t="s">
        <v>12</v>
      </c>
    </row>
    <row r="2" customFormat="false" ht="42.75" hidden="false" customHeight="true" outlineLevel="0" collapsed="false">
      <c r="A2" s="4" t="s">
        <v>13</v>
      </c>
      <c r="B2" s="4" t="s">
        <v>14</v>
      </c>
      <c r="C2" s="5" t="s">
        <v>15</v>
      </c>
      <c r="D2" s="5" t="s">
        <v>16</v>
      </c>
      <c r="E2" s="6" t="s">
        <v>17</v>
      </c>
      <c r="F2" s="6" t="s">
        <v>18</v>
      </c>
      <c r="G2" s="6" t="s">
        <v>19</v>
      </c>
      <c r="H2" s="7" t="s">
        <v>20</v>
      </c>
      <c r="I2" s="6"/>
      <c r="J2" s="6"/>
      <c r="K2" s="0" t="s">
        <v>21</v>
      </c>
      <c r="L2" s="0" t="n">
        <v>2001</v>
      </c>
    </row>
    <row r="3" customFormat="false" ht="42.75" hidden="false" customHeight="true" outlineLevel="0" collapsed="false">
      <c r="A3" s="4" t="n">
        <v>2003</v>
      </c>
      <c r="B3" s="4" t="s">
        <v>22</v>
      </c>
      <c r="C3" s="5" t="s">
        <v>23</v>
      </c>
      <c r="D3" s="5" t="s">
        <v>24</v>
      </c>
      <c r="E3" s="6" t="s">
        <v>25</v>
      </c>
      <c r="F3" s="6" t="s">
        <v>18</v>
      </c>
      <c r="G3" s="6" t="s">
        <v>26</v>
      </c>
      <c r="H3" s="7" t="s">
        <v>27</v>
      </c>
      <c r="I3" s="6"/>
      <c r="J3" s="6"/>
      <c r="K3" s="0" t="s">
        <v>28</v>
      </c>
      <c r="L3" s="0" t="n">
        <v>2003</v>
      </c>
      <c r="M3" s="0" t="n">
        <v>2003</v>
      </c>
    </row>
    <row r="4" customFormat="false" ht="42.75" hidden="false" customHeight="true" outlineLevel="0" collapsed="false">
      <c r="A4" s="4" t="s">
        <v>29</v>
      </c>
      <c r="B4" s="4" t="s">
        <v>30</v>
      </c>
      <c r="C4" s="5" t="s">
        <v>31</v>
      </c>
      <c r="D4" s="5" t="s">
        <v>32</v>
      </c>
      <c r="E4" s="6" t="s">
        <v>33</v>
      </c>
      <c r="F4" s="6" t="s">
        <v>18</v>
      </c>
      <c r="G4" s="6" t="s">
        <v>26</v>
      </c>
      <c r="H4" s="7" t="s">
        <v>34</v>
      </c>
      <c r="I4" s="6"/>
      <c r="J4" s="6"/>
      <c r="K4" s="0" t="s">
        <v>28</v>
      </c>
      <c r="L4" s="0" t="n">
        <v>2003</v>
      </c>
    </row>
    <row r="5" customFormat="false" ht="42.75" hidden="false" customHeight="true" outlineLevel="0" collapsed="false">
      <c r="A5" s="4" t="s">
        <v>35</v>
      </c>
      <c r="B5" s="4" t="s">
        <v>36</v>
      </c>
      <c r="C5" s="5" t="s">
        <v>37</v>
      </c>
      <c r="D5" s="5" t="s">
        <v>24</v>
      </c>
      <c r="E5" s="6" t="s">
        <v>38</v>
      </c>
      <c r="F5" s="6" t="s">
        <v>39</v>
      </c>
      <c r="G5" s="6" t="s">
        <v>40</v>
      </c>
      <c r="H5" s="7" t="s">
        <v>41</v>
      </c>
      <c r="I5" s="6"/>
      <c r="J5" s="6"/>
      <c r="K5" s="0" t="s">
        <v>42</v>
      </c>
      <c r="L5" s="0" t="n">
        <v>2000</v>
      </c>
    </row>
    <row r="6" customFormat="false" ht="42.75" hidden="false" customHeight="true" outlineLevel="0" collapsed="false">
      <c r="A6" s="4" t="s">
        <v>43</v>
      </c>
      <c r="B6" s="4" t="s">
        <v>44</v>
      </c>
      <c r="C6" s="5" t="s">
        <v>45</v>
      </c>
      <c r="D6" s="5" t="s">
        <v>16</v>
      </c>
      <c r="E6" s="6" t="s">
        <v>46</v>
      </c>
      <c r="F6" s="6" t="s">
        <v>47</v>
      </c>
      <c r="G6" s="6" t="s">
        <v>48</v>
      </c>
      <c r="H6" s="7" t="s">
        <v>49</v>
      </c>
      <c r="I6" s="6"/>
      <c r="J6" s="6"/>
      <c r="K6" s="0" t="s">
        <v>50</v>
      </c>
      <c r="L6" s="0" t="n">
        <v>2003</v>
      </c>
    </row>
    <row r="7" customFormat="false" ht="42.75" hidden="false" customHeight="true" outlineLevel="0" collapsed="false">
      <c r="A7" s="4" t="n">
        <v>2006</v>
      </c>
      <c r="B7" s="4" t="s">
        <v>51</v>
      </c>
      <c r="C7" s="5" t="s">
        <v>52</v>
      </c>
      <c r="D7" s="5" t="s">
        <v>24</v>
      </c>
      <c r="E7" s="6" t="s">
        <v>53</v>
      </c>
      <c r="F7" s="6" t="s">
        <v>54</v>
      </c>
      <c r="G7" s="6" t="s">
        <v>55</v>
      </c>
      <c r="H7" s="7" t="s">
        <v>56</v>
      </c>
      <c r="I7" s="6"/>
      <c r="J7" s="6"/>
      <c r="K7" s="0" t="s">
        <v>57</v>
      </c>
      <c r="L7" s="0" t="n">
        <v>2006</v>
      </c>
      <c r="M7" s="0" t="n">
        <v>2006</v>
      </c>
    </row>
    <row r="8" customFormat="false" ht="42.75" hidden="false" customHeight="true" outlineLevel="0" collapsed="false">
      <c r="A8" s="4" t="s">
        <v>58</v>
      </c>
      <c r="B8" s="4" t="s">
        <v>59</v>
      </c>
      <c r="C8" s="5" t="s">
        <v>60</v>
      </c>
      <c r="D8" s="5" t="s">
        <v>16</v>
      </c>
      <c r="E8" s="6" t="s">
        <v>61</v>
      </c>
      <c r="F8" s="6" t="s">
        <v>18</v>
      </c>
      <c r="G8" s="6" t="s">
        <v>62</v>
      </c>
      <c r="H8" s="7" t="s">
        <v>63</v>
      </c>
      <c r="I8" s="6"/>
      <c r="J8" s="6"/>
      <c r="K8" s="0" t="s">
        <v>64</v>
      </c>
      <c r="L8" s="0" t="n">
        <v>2008</v>
      </c>
      <c r="M8" s="0" t="n">
        <v>2009</v>
      </c>
    </row>
    <row r="9" customFormat="false" ht="42.75" hidden="false" customHeight="true" outlineLevel="0" collapsed="false">
      <c r="A9" s="4" t="s">
        <v>65</v>
      </c>
      <c r="B9" s="4" t="s">
        <v>66</v>
      </c>
      <c r="C9" s="5" t="s">
        <v>67</v>
      </c>
      <c r="D9" s="5" t="s">
        <v>24</v>
      </c>
      <c r="E9" s="6" t="s">
        <v>68</v>
      </c>
      <c r="F9" s="6" t="s">
        <v>69</v>
      </c>
      <c r="G9" s="6" t="s">
        <v>70</v>
      </c>
      <c r="H9" s="7" t="s">
        <v>71</v>
      </c>
      <c r="I9" s="6"/>
      <c r="J9" s="6"/>
      <c r="K9" s="0" t="s">
        <v>72</v>
      </c>
      <c r="L9" s="0" t="n">
        <v>2011</v>
      </c>
    </row>
    <row r="10" customFormat="false" ht="28.5" hidden="false" customHeight="true" outlineLevel="0" collapsed="false">
      <c r="A10" s="4" t="s">
        <v>65</v>
      </c>
      <c r="B10" s="4" t="s">
        <v>73</v>
      </c>
      <c r="C10" s="5" t="s">
        <v>74</v>
      </c>
      <c r="D10" s="5" t="s">
        <v>16</v>
      </c>
      <c r="E10" s="6" t="s">
        <v>75</v>
      </c>
      <c r="F10" s="6" t="s">
        <v>69</v>
      </c>
      <c r="G10" s="6" t="s">
        <v>70</v>
      </c>
      <c r="H10" s="7" t="s">
        <v>76</v>
      </c>
      <c r="I10" s="6"/>
      <c r="J10" s="6"/>
      <c r="K10" s="0" t="s">
        <v>72</v>
      </c>
      <c r="L10" s="0" t="n">
        <v>2011</v>
      </c>
    </row>
    <row r="11" customFormat="false" ht="42.75" hidden="false" customHeight="true" outlineLevel="0" collapsed="false">
      <c r="A11" s="4" t="s">
        <v>77</v>
      </c>
      <c r="B11" s="4" t="s">
        <v>78</v>
      </c>
      <c r="C11" s="5" t="s">
        <v>79</v>
      </c>
      <c r="D11" s="5" t="s">
        <v>24</v>
      </c>
      <c r="E11" s="6" t="s">
        <v>80</v>
      </c>
      <c r="F11" s="6" t="s">
        <v>18</v>
      </c>
      <c r="G11" s="6" t="s">
        <v>81</v>
      </c>
      <c r="H11" s="7" t="s">
        <v>82</v>
      </c>
      <c r="I11" s="6"/>
      <c r="J11" s="6"/>
      <c r="K11" s="0" t="s">
        <v>83</v>
      </c>
      <c r="L11" s="0" t="n">
        <v>2013</v>
      </c>
    </row>
    <row r="12" customFormat="false" ht="28.5" hidden="false" customHeight="true" outlineLevel="0" collapsed="false">
      <c r="A12" s="4" t="s">
        <v>84</v>
      </c>
      <c r="B12" s="4" t="s">
        <v>85</v>
      </c>
      <c r="C12" s="5" t="s">
        <v>86</v>
      </c>
      <c r="D12" s="5" t="s">
        <v>32</v>
      </c>
      <c r="E12" s="6" t="s">
        <v>87</v>
      </c>
      <c r="F12" s="6" t="s">
        <v>69</v>
      </c>
      <c r="G12" s="6" t="s">
        <v>88</v>
      </c>
      <c r="H12" s="7" t="s">
        <v>89</v>
      </c>
      <c r="I12" s="6"/>
      <c r="J12" s="6"/>
      <c r="K12" s="0" t="s">
        <v>90</v>
      </c>
      <c r="L12" s="0" t="n">
        <v>2014</v>
      </c>
    </row>
    <row r="13" customFormat="false" ht="42.75" hidden="false" customHeight="true" outlineLevel="0" collapsed="false">
      <c r="A13" s="4" t="s">
        <v>91</v>
      </c>
      <c r="B13" s="4" t="s">
        <v>92</v>
      </c>
      <c r="C13" s="5" t="s">
        <v>93</v>
      </c>
      <c r="D13" s="5" t="s">
        <v>16</v>
      </c>
      <c r="E13" s="6" t="s">
        <v>94</v>
      </c>
      <c r="F13" s="6" t="s">
        <v>95</v>
      </c>
      <c r="G13" s="6" t="s">
        <v>96</v>
      </c>
      <c r="H13" s="7" t="s">
        <v>97</v>
      </c>
      <c r="I13" s="6"/>
      <c r="J13" s="6"/>
      <c r="K13" s="0" t="s">
        <v>98</v>
      </c>
      <c r="L13" s="0" t="n">
        <v>2015</v>
      </c>
    </row>
    <row r="14" customFormat="false" ht="42.75" hidden="false" customHeight="true" outlineLevel="0" collapsed="false">
      <c r="A14" s="4" t="s">
        <v>99</v>
      </c>
      <c r="B14" s="4" t="s">
        <v>100</v>
      </c>
      <c r="C14" s="5" t="s">
        <v>101</v>
      </c>
      <c r="D14" s="5" t="s">
        <v>32</v>
      </c>
      <c r="E14" s="6" t="s">
        <v>102</v>
      </c>
      <c r="F14" s="6" t="s">
        <v>18</v>
      </c>
      <c r="G14" s="6" t="s">
        <v>26</v>
      </c>
      <c r="H14" s="7" t="s">
        <v>103</v>
      </c>
      <c r="I14" s="6"/>
      <c r="J14" s="6"/>
      <c r="K14" s="0" t="s">
        <v>104</v>
      </c>
      <c r="L14" s="0" t="n">
        <v>2016</v>
      </c>
      <c r="M14" s="0" t="n">
        <v>2017</v>
      </c>
    </row>
    <row r="15" customFormat="false" ht="42.75" hidden="false" customHeight="true" outlineLevel="0" collapsed="false">
      <c r="A15" s="4" t="s">
        <v>105</v>
      </c>
      <c r="B15" s="4" t="s">
        <v>106</v>
      </c>
      <c r="C15" s="5" t="s">
        <v>107</v>
      </c>
      <c r="D15" s="5" t="s">
        <v>24</v>
      </c>
      <c r="E15" s="6" t="s">
        <v>108</v>
      </c>
      <c r="F15" s="6" t="s">
        <v>18</v>
      </c>
      <c r="G15" s="6" t="s">
        <v>109</v>
      </c>
      <c r="H15" s="7" t="s">
        <v>110</v>
      </c>
      <c r="I15" s="6"/>
      <c r="J15" s="6"/>
      <c r="K15" s="0" t="s">
        <v>106</v>
      </c>
      <c r="L15" s="0" t="n">
        <v>2000</v>
      </c>
    </row>
    <row r="16" customFormat="false" ht="57" hidden="false" customHeight="true" outlineLevel="0" collapsed="false">
      <c r="A16" s="4" t="n">
        <v>2022</v>
      </c>
      <c r="B16" s="4" t="s">
        <v>111</v>
      </c>
      <c r="C16" s="5" t="s">
        <v>112</v>
      </c>
      <c r="D16" s="5" t="s">
        <v>24</v>
      </c>
      <c r="E16" s="6" t="s">
        <v>113</v>
      </c>
      <c r="F16" s="6" t="s">
        <v>18</v>
      </c>
      <c r="G16" s="6" t="s">
        <v>114</v>
      </c>
      <c r="H16" s="7" t="s">
        <v>115</v>
      </c>
      <c r="I16" s="6"/>
      <c r="J16" s="6"/>
      <c r="K16" s="0" t="s">
        <v>116</v>
      </c>
      <c r="L16" s="0" t="n">
        <v>2022</v>
      </c>
      <c r="M16" s="0" t="n">
        <v>2022</v>
      </c>
    </row>
    <row r="17" customFormat="false" ht="42.75" hidden="false" customHeight="true" outlineLevel="0" collapsed="false">
      <c r="A17" s="4" t="s">
        <v>117</v>
      </c>
      <c r="B17" s="4" t="s">
        <v>118</v>
      </c>
      <c r="C17" s="5" t="s">
        <v>119</v>
      </c>
      <c r="D17" s="5" t="s">
        <v>32</v>
      </c>
      <c r="E17" s="6" t="s">
        <v>120</v>
      </c>
      <c r="F17" s="6" t="s">
        <v>18</v>
      </c>
      <c r="G17" s="6" t="s">
        <v>88</v>
      </c>
      <c r="H17" s="7" t="s">
        <v>121</v>
      </c>
      <c r="I17" s="6"/>
      <c r="J17" s="6"/>
      <c r="K17" s="0" t="s">
        <v>90</v>
      </c>
      <c r="L17" s="0" t="n">
        <v>2022</v>
      </c>
    </row>
    <row r="18" customFormat="false" ht="42.75" hidden="false" customHeight="true" outlineLevel="0" collapsed="false">
      <c r="A18" s="4" t="s">
        <v>117</v>
      </c>
      <c r="B18" s="4" t="s">
        <v>122</v>
      </c>
      <c r="C18" s="5" t="s">
        <v>123</v>
      </c>
      <c r="D18" s="5" t="s">
        <v>16</v>
      </c>
      <c r="E18" s="6" t="s">
        <v>124</v>
      </c>
      <c r="F18" s="6" t="s">
        <v>18</v>
      </c>
      <c r="G18" s="6" t="s">
        <v>88</v>
      </c>
      <c r="H18" s="7" t="s">
        <v>125</v>
      </c>
      <c r="I18" s="6"/>
      <c r="J18" s="6"/>
      <c r="K18" s="0" t="s">
        <v>90</v>
      </c>
      <c r="L18" s="0" t="n">
        <v>2022</v>
      </c>
    </row>
    <row r="19" customFormat="false" ht="42.75" hidden="false" customHeight="true" outlineLevel="0" collapsed="false">
      <c r="A19" s="8" t="s">
        <v>126</v>
      </c>
      <c r="B19" s="4" t="s">
        <v>127</v>
      </c>
      <c r="C19" s="5" t="s">
        <v>128</v>
      </c>
      <c r="D19" s="5" t="s">
        <v>24</v>
      </c>
      <c r="E19" s="6" t="s">
        <v>129</v>
      </c>
      <c r="F19" s="6" t="s">
        <v>18</v>
      </c>
      <c r="G19" s="6" t="s">
        <v>88</v>
      </c>
      <c r="H19" s="7" t="s">
        <v>130</v>
      </c>
      <c r="I19" s="6"/>
      <c r="J19" s="6"/>
      <c r="K19" s="0" t="s">
        <v>90</v>
      </c>
      <c r="L19" s="0" t="n">
        <v>2023</v>
      </c>
      <c r="M19" s="0" t="n">
        <v>2023</v>
      </c>
    </row>
    <row r="20" customFormat="false" ht="28.5" hidden="false" customHeight="true" outlineLevel="0" collapsed="false">
      <c r="A20" s="4" t="s">
        <v>131</v>
      </c>
      <c r="B20" s="4" t="s">
        <v>132</v>
      </c>
      <c r="C20" s="5" t="s">
        <v>133</v>
      </c>
      <c r="D20" s="5" t="s">
        <v>16</v>
      </c>
      <c r="E20" s="6" t="s">
        <v>134</v>
      </c>
      <c r="F20" s="6" t="s">
        <v>18</v>
      </c>
      <c r="G20" s="6" t="s">
        <v>62</v>
      </c>
      <c r="H20" s="7" t="s">
        <v>135</v>
      </c>
      <c r="I20" s="6"/>
      <c r="J20" s="6"/>
      <c r="K20" s="0" t="s">
        <v>64</v>
      </c>
      <c r="L20" s="0" t="n">
        <v>2023</v>
      </c>
      <c r="M20" s="0" t="n">
        <v>2025</v>
      </c>
    </row>
    <row r="21" customFormat="false" ht="42.75" hidden="false" customHeight="true" outlineLevel="0" collapsed="false">
      <c r="A21" s="4" t="s">
        <v>131</v>
      </c>
      <c r="B21" s="4" t="s">
        <v>132</v>
      </c>
      <c r="C21" s="5" t="s">
        <v>136</v>
      </c>
      <c r="D21" s="5" t="s">
        <v>16</v>
      </c>
      <c r="E21" s="6" t="s">
        <v>137</v>
      </c>
      <c r="F21" s="6" t="s">
        <v>18</v>
      </c>
      <c r="G21" s="6" t="s">
        <v>62</v>
      </c>
      <c r="H21" s="7" t="s">
        <v>138</v>
      </c>
      <c r="I21" s="6"/>
      <c r="J21" s="6"/>
      <c r="K21" s="0" t="s">
        <v>64</v>
      </c>
      <c r="L21" s="0" t="n">
        <v>2023</v>
      </c>
      <c r="M21" s="0" t="n">
        <v>2025</v>
      </c>
    </row>
    <row r="22" customFormat="false" ht="42.75" hidden="false" customHeight="true" outlineLevel="0" collapsed="false">
      <c r="A22" s="4" t="s">
        <v>139</v>
      </c>
      <c r="B22" s="4" t="s">
        <v>140</v>
      </c>
      <c r="C22" s="5" t="s">
        <v>141</v>
      </c>
      <c r="D22" s="5" t="s">
        <v>24</v>
      </c>
      <c r="E22" s="6" t="s">
        <v>142</v>
      </c>
      <c r="F22" s="6" t="s">
        <v>69</v>
      </c>
      <c r="G22" s="6" t="s">
        <v>48</v>
      </c>
      <c r="H22" s="7" t="s">
        <v>143</v>
      </c>
      <c r="I22" s="6"/>
      <c r="J22" s="6"/>
      <c r="K22" s="0" t="s">
        <v>144</v>
      </c>
      <c r="L22" s="0" t="n">
        <v>2023</v>
      </c>
    </row>
    <row r="23" customFormat="false" ht="42.75" hidden="false" customHeight="true" outlineLevel="0" collapsed="false">
      <c r="A23" s="4" t="s">
        <v>145</v>
      </c>
      <c r="B23" s="4" t="s">
        <v>146</v>
      </c>
      <c r="C23" s="5" t="s">
        <v>147</v>
      </c>
      <c r="D23" s="5" t="s">
        <v>24</v>
      </c>
      <c r="E23" s="6" t="s">
        <v>148</v>
      </c>
      <c r="F23" s="6" t="s">
        <v>149</v>
      </c>
      <c r="G23" s="6" t="s">
        <v>96</v>
      </c>
      <c r="H23" s="7" t="s">
        <v>150</v>
      </c>
      <c r="I23" s="6"/>
      <c r="J23" s="6"/>
      <c r="K23" s="0" t="s">
        <v>98</v>
      </c>
      <c r="L23" s="0" t="n">
        <v>2024</v>
      </c>
      <c r="M23" s="0" t="n">
        <v>2024</v>
      </c>
    </row>
    <row r="24" customFormat="false" ht="72" hidden="false" customHeight="true" outlineLevel="0" collapsed="false">
      <c r="A24" s="4" t="s">
        <v>151</v>
      </c>
      <c r="B24" s="4" t="s">
        <v>152</v>
      </c>
      <c r="C24" s="5" t="s">
        <v>153</v>
      </c>
      <c r="D24" s="5" t="s">
        <v>32</v>
      </c>
      <c r="E24" s="6" t="s">
        <v>154</v>
      </c>
      <c r="F24" s="6" t="s">
        <v>69</v>
      </c>
      <c r="G24" s="6" t="s">
        <v>88</v>
      </c>
      <c r="H24" s="7" t="s">
        <v>155</v>
      </c>
      <c r="I24" s="6"/>
      <c r="J24" s="6"/>
      <c r="K24" s="0" t="s">
        <v>90</v>
      </c>
      <c r="L24" s="0" t="n">
        <v>2024</v>
      </c>
    </row>
    <row r="25" customFormat="false" ht="42.75" hidden="false" customHeight="true" outlineLevel="0" collapsed="false">
      <c r="A25" s="4" t="n">
        <v>2026</v>
      </c>
      <c r="B25" s="4" t="s">
        <v>156</v>
      </c>
      <c r="C25" s="5" t="s">
        <v>157</v>
      </c>
      <c r="D25" s="5" t="s">
        <v>24</v>
      </c>
      <c r="E25" s="9" t="s">
        <v>158</v>
      </c>
      <c r="F25" s="9"/>
      <c r="G25" s="9" t="s">
        <v>159</v>
      </c>
      <c r="H25" s="10" t="s">
        <v>160</v>
      </c>
      <c r="I25" s="9"/>
      <c r="J25" s="9"/>
      <c r="K25" s="0" t="s">
        <v>161</v>
      </c>
      <c r="L25" s="0" t="n">
        <v>2026</v>
      </c>
      <c r="M25" s="0" t="n">
        <v>2026</v>
      </c>
    </row>
  </sheetData>
  <conditionalFormatting sqref="A2:E25">
    <cfRule type="expression" priority="2" aboveAverage="0" equalAverage="0" bottom="0" percent="0" rank="0" text="" dxfId="0">
      <formula>$D2="Hybrid"</formula>
    </cfRule>
    <cfRule type="expression" priority="3" aboveAverage="0" equalAverage="0" bottom="0" percent="0" rank="0" text="" dxfId="1">
      <formula>$D2="Deliberate"</formula>
    </cfRule>
    <cfRule type="expression" priority="4" aboveAverage="0" equalAverage="0" bottom="0" percent="0" rank="0" text="" dxfId="2">
      <formula>$D2="Byproduct"</formula>
    </cfRule>
  </conditionalFormatting>
  <dataValidations count="1">
    <dataValidation allowBlank="true" errorStyle="stop" operator="between" showDropDown="false" showErrorMessage="true" showInputMessage="true" sqref="D2:D25" type="list">
      <formula1>"Deliberate,Hybrid,Byproduct"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48"/>
    <col collapsed="false" customWidth="true" hidden="false" outlineLevel="0" max="2" min="2" style="3" width="18"/>
    <col collapsed="false" customWidth="true" hidden="false" outlineLevel="0" max="3" min="3" style="3" width="26"/>
    <col collapsed="false" customWidth="true" hidden="false" outlineLevel="0" max="4" min="4" style="3" width="70"/>
    <col collapsed="false" customWidth="true" hidden="false" outlineLevel="0" max="6" min="5" style="0" width="11"/>
  </cols>
  <sheetData>
    <row r="1" customFormat="false" ht="15" hidden="false" customHeight="true" outlineLevel="0" collapsed="false">
      <c r="A1" s="4" t="s">
        <v>10</v>
      </c>
      <c r="B1" s="4" t="s">
        <v>162</v>
      </c>
      <c r="C1" s="4" t="s">
        <v>163</v>
      </c>
      <c r="D1" s="4" t="s">
        <v>164</v>
      </c>
      <c r="E1" s="4" t="s">
        <v>11</v>
      </c>
      <c r="F1" s="4" t="s">
        <v>12</v>
      </c>
    </row>
    <row r="2" customFormat="false" ht="15" hidden="false" customHeight="true" outlineLevel="0" collapsed="false">
      <c r="A2" s="11" t="s">
        <v>21</v>
      </c>
      <c r="B2" s="11" t="s">
        <v>165</v>
      </c>
      <c r="C2" s="11" t="s">
        <v>166</v>
      </c>
      <c r="D2" s="11" t="s">
        <v>167</v>
      </c>
      <c r="E2" s="0" t="n">
        <v>2001</v>
      </c>
      <c r="F2" s="0" t="n">
        <v>2021</v>
      </c>
    </row>
    <row r="3" customFormat="false" ht="15" hidden="false" customHeight="true" outlineLevel="0" collapsed="false">
      <c r="A3" s="11" t="s">
        <v>28</v>
      </c>
      <c r="B3" s="11" t="s">
        <v>168</v>
      </c>
      <c r="C3" s="11" t="s">
        <v>169</v>
      </c>
      <c r="D3" s="11" t="s">
        <v>170</v>
      </c>
      <c r="E3" s="0" t="n">
        <v>2003</v>
      </c>
      <c r="F3" s="0" t="n">
        <v>2011</v>
      </c>
    </row>
    <row r="4" customFormat="false" ht="15" hidden="false" customHeight="true" outlineLevel="0" collapsed="false">
      <c r="A4" s="11" t="s">
        <v>104</v>
      </c>
      <c r="B4" s="11" t="s">
        <v>171</v>
      </c>
      <c r="C4" s="11" t="s">
        <v>172</v>
      </c>
      <c r="D4" s="11" t="s">
        <v>173</v>
      </c>
      <c r="E4" s="0" t="n">
        <v>2014</v>
      </c>
      <c r="F4" s="0" t="n">
        <v>2019</v>
      </c>
    </row>
    <row r="5" customFormat="false" ht="15" hidden="false" customHeight="true" outlineLevel="0" collapsed="false">
      <c r="A5" s="11" t="s">
        <v>72</v>
      </c>
      <c r="B5" s="11" t="s">
        <v>174</v>
      </c>
      <c r="C5" s="11" t="s">
        <v>175</v>
      </c>
      <c r="D5" s="11" t="s">
        <v>176</v>
      </c>
      <c r="E5" s="0" t="n">
        <v>2011</v>
      </c>
      <c r="F5" s="0" t="n">
        <v>2024</v>
      </c>
    </row>
    <row r="6" customFormat="false" ht="15" hidden="false" customHeight="true" outlineLevel="0" collapsed="false">
      <c r="A6" s="11" t="s">
        <v>57</v>
      </c>
      <c r="B6" s="11" t="s">
        <v>177</v>
      </c>
      <c r="C6" s="11" t="s">
        <v>178</v>
      </c>
      <c r="D6" s="11" t="s">
        <v>179</v>
      </c>
      <c r="E6" s="0" t="n">
        <v>2006</v>
      </c>
      <c r="F6" s="0" t="n">
        <v>2006</v>
      </c>
    </row>
    <row r="7" customFormat="false" ht="15" hidden="false" customHeight="true" outlineLevel="0" collapsed="false">
      <c r="A7" s="11" t="s">
        <v>64</v>
      </c>
      <c r="B7" s="11" t="s">
        <v>180</v>
      </c>
      <c r="C7" s="11" t="s">
        <v>181</v>
      </c>
      <c r="D7" s="11" t="s">
        <v>182</v>
      </c>
      <c r="E7" s="0" t="n">
        <v>2008</v>
      </c>
    </row>
    <row r="8" customFormat="false" ht="15" hidden="false" customHeight="true" outlineLevel="0" collapsed="false">
      <c r="A8" s="11" t="s">
        <v>183</v>
      </c>
      <c r="B8" s="11" t="s">
        <v>184</v>
      </c>
      <c r="C8" s="11" t="s">
        <v>185</v>
      </c>
      <c r="D8" s="11" t="s">
        <v>186</v>
      </c>
      <c r="E8" s="0" t="n">
        <v>2023</v>
      </c>
      <c r="F8" s="0" t="n">
        <v>2024</v>
      </c>
    </row>
    <row r="9" customFormat="false" ht="15" hidden="false" customHeight="true" outlineLevel="0" collapsed="false">
      <c r="A9" s="11" t="s">
        <v>161</v>
      </c>
      <c r="B9" s="11" t="s">
        <v>187</v>
      </c>
      <c r="C9" s="11" t="s">
        <v>188</v>
      </c>
      <c r="D9" s="11" t="s">
        <v>189</v>
      </c>
      <c r="E9" s="0" t="n">
        <v>2026</v>
      </c>
      <c r="F9" s="0" t="n">
        <v>2026</v>
      </c>
    </row>
    <row r="10" customFormat="false" ht="15" hidden="false" customHeight="true" outlineLevel="0" collapsed="false">
      <c r="A10" s="11" t="s">
        <v>190</v>
      </c>
      <c r="B10" s="11" t="s">
        <v>191</v>
      </c>
      <c r="C10" s="11" t="s">
        <v>192</v>
      </c>
      <c r="D10" s="11" t="s">
        <v>193</v>
      </c>
      <c r="E10" s="0" t="n">
        <v>1998</v>
      </c>
      <c r="F10" s="0" t="n">
        <v>2003</v>
      </c>
    </row>
    <row r="11" customFormat="false" ht="15" hidden="false" customHeight="true" outlineLevel="0" collapsed="false">
      <c r="A11" s="11" t="s">
        <v>42</v>
      </c>
      <c r="B11" s="11" t="s">
        <v>194</v>
      </c>
      <c r="C11" s="11" t="s">
        <v>195</v>
      </c>
      <c r="D11" s="11" t="s">
        <v>196</v>
      </c>
      <c r="E11" s="0" t="n">
        <v>2004</v>
      </c>
    </row>
    <row r="12" customFormat="false" ht="15" hidden="false" customHeight="true" outlineLevel="0" collapsed="false">
      <c r="A12" s="11" t="s">
        <v>197</v>
      </c>
      <c r="B12" s="11" t="s">
        <v>35</v>
      </c>
      <c r="C12" s="11" t="s">
        <v>198</v>
      </c>
      <c r="D12" s="11" t="s">
        <v>199</v>
      </c>
      <c r="E12" s="0" t="n">
        <v>2000</v>
      </c>
    </row>
    <row r="13" customFormat="false" ht="15" hidden="false" customHeight="true" outlineLevel="0" collapsed="false">
      <c r="A13" s="11" t="s">
        <v>50</v>
      </c>
      <c r="B13" s="11" t="s">
        <v>200</v>
      </c>
      <c r="C13" s="11" t="s">
        <v>201</v>
      </c>
      <c r="D13" s="11" t="s">
        <v>202</v>
      </c>
      <c r="E13" s="0" t="n">
        <v>2003</v>
      </c>
      <c r="F13" s="0" t="n">
        <v>2020</v>
      </c>
    </row>
    <row r="14" customFormat="false" ht="27.75" hidden="false" customHeight="true" outlineLevel="0" collapsed="false">
      <c r="A14" s="11" t="s">
        <v>203</v>
      </c>
      <c r="B14" s="11" t="s">
        <v>65</v>
      </c>
      <c r="C14" s="11" t="s">
        <v>204</v>
      </c>
      <c r="D14" s="11" t="s">
        <v>205</v>
      </c>
      <c r="E14" s="0" t="n">
        <v>2011</v>
      </c>
    </row>
    <row r="15" customFormat="false" ht="15" hidden="false" customHeight="true" outlineLevel="0" collapsed="false">
      <c r="A15" s="11" t="s">
        <v>144</v>
      </c>
      <c r="B15" s="11" t="s">
        <v>139</v>
      </c>
      <c r="C15" s="11" t="s">
        <v>206</v>
      </c>
      <c r="D15" s="11" t="s">
        <v>207</v>
      </c>
      <c r="E15" s="0" t="n">
        <v>2023</v>
      </c>
    </row>
    <row r="16" customFormat="false" ht="15" hidden="false" customHeight="true" outlineLevel="0" collapsed="false">
      <c r="A16" s="11" t="s">
        <v>83</v>
      </c>
      <c r="B16" s="11" t="s">
        <v>208</v>
      </c>
      <c r="C16" s="11" t="s">
        <v>209</v>
      </c>
      <c r="D16" s="11" t="s">
        <v>210</v>
      </c>
      <c r="E16" s="0" t="n">
        <v>2013</v>
      </c>
      <c r="F16" s="0" t="n">
        <v>2020</v>
      </c>
    </row>
    <row r="17" customFormat="false" ht="27.75" hidden="false" customHeight="true" outlineLevel="0" collapsed="false">
      <c r="A17" s="11" t="s">
        <v>211</v>
      </c>
      <c r="B17" s="11" t="s">
        <v>212</v>
      </c>
      <c r="C17" s="11" t="s">
        <v>213</v>
      </c>
      <c r="D17" s="11" t="s">
        <v>214</v>
      </c>
      <c r="E17" s="0" t="n">
        <v>1998</v>
      </c>
      <c r="F17" s="0" t="n">
        <v>2018</v>
      </c>
    </row>
    <row r="18" customFormat="false" ht="15" hidden="false" customHeight="true" outlineLevel="0" collapsed="false">
      <c r="A18" s="11" t="s">
        <v>215</v>
      </c>
      <c r="B18" s="11" t="s">
        <v>216</v>
      </c>
      <c r="C18" s="11" t="s">
        <v>217</v>
      </c>
      <c r="D18" s="11" t="s">
        <v>218</v>
      </c>
      <c r="E18" s="0" t="n">
        <v>2020</v>
      </c>
      <c r="F18" s="0" t="n">
        <v>2022</v>
      </c>
    </row>
    <row r="19" customFormat="false" ht="15" hidden="false" customHeight="true" outlineLevel="0" collapsed="false">
      <c r="A19" s="11" t="s">
        <v>219</v>
      </c>
      <c r="B19" s="11" t="s">
        <v>220</v>
      </c>
      <c r="C19" s="11" t="s">
        <v>221</v>
      </c>
      <c r="D19" s="11" t="s">
        <v>222</v>
      </c>
      <c r="E19" s="0" t="n">
        <v>2018</v>
      </c>
    </row>
    <row r="20" customFormat="false" ht="15" hidden="false" customHeight="true" outlineLevel="0" collapsed="false">
      <c r="A20" s="11" t="s">
        <v>223</v>
      </c>
      <c r="B20" s="11" t="s">
        <v>224</v>
      </c>
      <c r="C20" s="11" t="s">
        <v>225</v>
      </c>
      <c r="D20" s="11" t="s">
        <v>226</v>
      </c>
      <c r="E20" s="0" t="n">
        <v>2006</v>
      </c>
    </row>
    <row r="21" customFormat="false" ht="15" hidden="false" customHeight="true" outlineLevel="0" collapsed="false">
      <c r="A21" s="11" t="s">
        <v>227</v>
      </c>
      <c r="B21" s="11" t="s">
        <v>35</v>
      </c>
      <c r="C21" s="11" t="s">
        <v>228</v>
      </c>
      <c r="D21" s="11" t="s">
        <v>229</v>
      </c>
      <c r="E21" s="0" t="n">
        <v>2000</v>
      </c>
    </row>
    <row r="22" customFormat="false" ht="15" hidden="false" customHeight="true" outlineLevel="0" collapsed="false">
      <c r="A22" s="11" t="s">
        <v>230</v>
      </c>
      <c r="B22" s="11" t="s">
        <v>35</v>
      </c>
      <c r="C22" s="11" t="s">
        <v>231</v>
      </c>
      <c r="D22" s="11" t="s">
        <v>232</v>
      </c>
      <c r="E22" s="0" t="n">
        <v>2000</v>
      </c>
    </row>
    <row r="23" customFormat="false" ht="15" hidden="false" customHeight="true" outlineLevel="0" collapsed="false">
      <c r="A23" s="11" t="s">
        <v>233</v>
      </c>
      <c r="B23" s="11" t="s">
        <v>35</v>
      </c>
      <c r="C23" s="11" t="s">
        <v>234</v>
      </c>
      <c r="D23" s="11" t="s">
        <v>235</v>
      </c>
      <c r="E23" s="0" t="n">
        <v>2000</v>
      </c>
    </row>
    <row r="24" customFormat="false" ht="15" hidden="false" customHeight="true" outlineLevel="0" collapsed="false">
      <c r="A24" s="11" t="s">
        <v>236</v>
      </c>
      <c r="B24" s="11" t="s">
        <v>237</v>
      </c>
      <c r="C24" s="11" t="s">
        <v>238</v>
      </c>
      <c r="D24" s="11" t="s">
        <v>239</v>
      </c>
      <c r="E24" s="0" t="n">
        <v>2000</v>
      </c>
      <c r="F24" s="0" t="n">
        <v>2020</v>
      </c>
    </row>
    <row r="25" customFormat="false" ht="15" hidden="false" customHeight="true" outlineLevel="0" collapsed="false">
      <c r="A25" s="11" t="s">
        <v>240</v>
      </c>
      <c r="B25" s="11" t="s">
        <v>241</v>
      </c>
      <c r="C25" s="11" t="s">
        <v>242</v>
      </c>
      <c r="D25" s="11" t="s">
        <v>243</v>
      </c>
      <c r="E25" s="0" t="n">
        <v>2021</v>
      </c>
    </row>
    <row r="26" customFormat="false" ht="15" hidden="false" customHeight="true" outlineLevel="0" collapsed="false">
      <c r="A26" s="11" t="s">
        <v>244</v>
      </c>
      <c r="B26" s="11" t="s">
        <v>245</v>
      </c>
      <c r="C26" s="11" t="s">
        <v>246</v>
      </c>
      <c r="D26" s="11" t="s">
        <v>247</v>
      </c>
      <c r="E26" s="0" t="n">
        <v>2009</v>
      </c>
    </row>
    <row r="27" customFormat="false" ht="27.75" hidden="false" customHeight="true" outlineLevel="0" collapsed="false">
      <c r="A27" s="11" t="s">
        <v>248</v>
      </c>
      <c r="B27" s="11" t="s">
        <v>249</v>
      </c>
      <c r="C27" s="11" t="s">
        <v>250</v>
      </c>
      <c r="D27" s="11" t="s">
        <v>251</v>
      </c>
      <c r="E27" s="0" t="n">
        <v>2012</v>
      </c>
    </row>
    <row r="28" customFormat="false" ht="15" hidden="false" customHeight="true" outlineLevel="0" collapsed="false">
      <c r="A28" s="11" t="s">
        <v>252</v>
      </c>
      <c r="B28" s="11" t="s">
        <v>65</v>
      </c>
      <c r="C28" s="11" t="s">
        <v>253</v>
      </c>
      <c r="D28" s="11" t="s">
        <v>254</v>
      </c>
      <c r="E28" s="0" t="n">
        <v>2011</v>
      </c>
    </row>
    <row r="29" customFormat="false" ht="15" hidden="false" customHeight="true" outlineLevel="0" collapsed="false">
      <c r="A29" s="11" t="s">
        <v>106</v>
      </c>
      <c r="B29" s="11" t="s">
        <v>255</v>
      </c>
      <c r="C29" s="11" t="s">
        <v>256</v>
      </c>
      <c r="D29" s="11" t="s">
        <v>257</v>
      </c>
      <c r="E29" s="0" t="n">
        <v>2000</v>
      </c>
      <c r="F29" s="0" t="n">
        <v>2016</v>
      </c>
    </row>
    <row r="30" customFormat="false" ht="15" hidden="false" customHeight="true" outlineLevel="0" collapsed="false">
      <c r="A30" s="11" t="s">
        <v>98</v>
      </c>
      <c r="B30" s="11" t="s">
        <v>84</v>
      </c>
      <c r="C30" s="11" t="s">
        <v>258</v>
      </c>
      <c r="D30" s="11" t="s">
        <v>259</v>
      </c>
      <c r="E30" s="0" t="n">
        <v>2014</v>
      </c>
    </row>
    <row r="31" customFormat="false" ht="15" hidden="false" customHeight="true" outlineLevel="0" collapsed="false">
      <c r="A31" s="11" t="s">
        <v>90</v>
      </c>
      <c r="B31" s="11" t="s">
        <v>84</v>
      </c>
      <c r="C31" s="11" t="s">
        <v>260</v>
      </c>
      <c r="D31" s="11" t="s">
        <v>261</v>
      </c>
      <c r="E31" s="0" t="n">
        <v>2014</v>
      </c>
    </row>
    <row r="32" customFormat="false" ht="15" hidden="false" customHeight="true" outlineLevel="0" collapsed="false">
      <c r="A32" s="11" t="s">
        <v>262</v>
      </c>
      <c r="B32" s="11" t="s">
        <v>263</v>
      </c>
      <c r="C32" s="11" t="s">
        <v>264</v>
      </c>
      <c r="D32" s="11" t="s">
        <v>265</v>
      </c>
      <c r="E32" s="0" t="n">
        <v>1999</v>
      </c>
      <c r="F32" s="0" t="n">
        <v>2017</v>
      </c>
    </row>
    <row r="33" customFormat="false" ht="15" hidden="false" customHeight="true" outlineLevel="0" collapsed="false">
      <c r="A33" s="11" t="s">
        <v>266</v>
      </c>
      <c r="B33" s="11" t="s">
        <v>267</v>
      </c>
      <c r="C33" s="11" t="s">
        <v>268</v>
      </c>
      <c r="D33" s="11" t="s">
        <v>269</v>
      </c>
      <c r="E33" s="0" t="n">
        <v>2008</v>
      </c>
      <c r="F33" s="0" t="n">
        <v>2008</v>
      </c>
    </row>
    <row r="34" customFormat="false" ht="15" hidden="false" customHeight="true" outlineLevel="0" collapsed="false">
      <c r="A34" s="11" t="s">
        <v>270</v>
      </c>
      <c r="B34" s="11" t="s">
        <v>271</v>
      </c>
      <c r="C34" s="11" t="s">
        <v>272</v>
      </c>
      <c r="D34" s="11" t="s">
        <v>273</v>
      </c>
      <c r="E34" s="0" t="n">
        <v>2020</v>
      </c>
      <c r="F34" s="0" t="n">
        <v>2023</v>
      </c>
    </row>
    <row r="35" customFormat="false" ht="15" hidden="false" customHeight="true" outlineLevel="0" collapsed="false">
      <c r="A35" s="11" t="s">
        <v>274</v>
      </c>
      <c r="B35" s="11" t="s">
        <v>224</v>
      </c>
      <c r="C35" s="11" t="s">
        <v>275</v>
      </c>
      <c r="D35" s="11" t="s">
        <v>276</v>
      </c>
      <c r="E35" s="0" t="n">
        <v>2006</v>
      </c>
    </row>
    <row r="36" customFormat="false" ht="15" hidden="false" customHeight="true" outlineLevel="0" collapsed="false">
      <c r="A36" s="11" t="s">
        <v>277</v>
      </c>
      <c r="B36" s="11" t="s">
        <v>194</v>
      </c>
      <c r="C36" s="11" t="s">
        <v>278</v>
      </c>
      <c r="D36" s="11" t="s">
        <v>279</v>
      </c>
      <c r="E36" s="0" t="n">
        <v>2004</v>
      </c>
    </row>
    <row r="37" customFormat="false" ht="15" hidden="false" customHeight="true" outlineLevel="0" collapsed="false">
      <c r="A37" s="11" t="s">
        <v>280</v>
      </c>
      <c r="B37" s="11" t="s">
        <v>35</v>
      </c>
      <c r="C37" s="11" t="s">
        <v>281</v>
      </c>
      <c r="D37" s="11" t="s">
        <v>282</v>
      </c>
      <c r="E37" s="0" t="n">
        <v>2000</v>
      </c>
    </row>
    <row r="38" customFormat="false" ht="15" hidden="false" customHeight="true" outlineLevel="0" collapsed="false">
      <c r="A38" s="11" t="s">
        <v>283</v>
      </c>
      <c r="B38" s="11" t="s">
        <v>35</v>
      </c>
      <c r="C38" s="11" t="s">
        <v>284</v>
      </c>
      <c r="D38" s="11" t="s">
        <v>285</v>
      </c>
      <c r="E38" s="0" t="n">
        <v>2000</v>
      </c>
    </row>
    <row r="39" customFormat="false" ht="15" hidden="false" customHeight="true" outlineLevel="0" collapsed="false">
      <c r="A39" s="11" t="s">
        <v>286</v>
      </c>
      <c r="B39" s="11" t="s">
        <v>287</v>
      </c>
      <c r="C39" s="11" t="s">
        <v>288</v>
      </c>
      <c r="D39" s="11" t="s">
        <v>289</v>
      </c>
      <c r="E39" s="0" t="n">
        <v>1984</v>
      </c>
      <c r="F39" s="0" t="n">
        <v>2025</v>
      </c>
    </row>
    <row r="40" customFormat="false" ht="15" hidden="false" customHeight="true" outlineLevel="0" collapsed="false">
      <c r="A40" s="11" t="s">
        <v>290</v>
      </c>
      <c r="B40" s="11" t="s">
        <v>35</v>
      </c>
      <c r="C40" s="11" t="s">
        <v>291</v>
      </c>
      <c r="D40" s="11" t="s">
        <v>292</v>
      </c>
      <c r="E40" s="0" t="n">
        <v>2000</v>
      </c>
    </row>
    <row r="41" customFormat="false" ht="15" hidden="false" customHeight="true" outlineLevel="0" collapsed="false">
      <c r="A41" s="11" t="s">
        <v>293</v>
      </c>
      <c r="B41" s="11" t="s">
        <v>294</v>
      </c>
      <c r="C41" s="11" t="s">
        <v>295</v>
      </c>
      <c r="D41" s="11" t="s">
        <v>296</v>
      </c>
      <c r="E41" s="0" t="n">
        <v>2000</v>
      </c>
      <c r="F41" s="0" t="n">
        <v>2009</v>
      </c>
    </row>
    <row r="42" customFormat="false" ht="15" hidden="false" customHeight="true" outlineLevel="0" collapsed="false">
      <c r="A42" s="11" t="s">
        <v>297</v>
      </c>
      <c r="B42" s="11" t="s">
        <v>298</v>
      </c>
      <c r="C42" s="11" t="s">
        <v>299</v>
      </c>
      <c r="D42" s="11" t="s">
        <v>300</v>
      </c>
      <c r="E42" s="0" t="n">
        <v>1996</v>
      </c>
      <c r="F42" s="0" t="n">
        <v>2006</v>
      </c>
    </row>
    <row r="43" customFormat="false" ht="15" hidden="false" customHeight="true" outlineLevel="0" collapsed="false">
      <c r="A43" s="11" t="s">
        <v>301</v>
      </c>
      <c r="B43" s="11" t="s">
        <v>302</v>
      </c>
      <c r="C43" s="11" t="s">
        <v>303</v>
      </c>
      <c r="D43" s="11" t="s">
        <v>304</v>
      </c>
      <c r="E43" s="0" t="n">
        <v>2002</v>
      </c>
      <c r="F43" s="0" t="n">
        <v>2011</v>
      </c>
    </row>
    <row r="44" customFormat="false" ht="15" hidden="false" customHeight="true" outlineLevel="0" collapsed="false">
      <c r="A44" s="11" t="s">
        <v>305</v>
      </c>
      <c r="B44" s="11" t="s">
        <v>306</v>
      </c>
      <c r="C44" s="11" t="s">
        <v>307</v>
      </c>
      <c r="D44" s="11" t="s">
        <v>308</v>
      </c>
      <c r="E44" s="0" t="n">
        <v>1999</v>
      </c>
      <c r="F44" s="0" t="n">
        <v>2003</v>
      </c>
    </row>
    <row r="45" customFormat="false" ht="15" hidden="false" customHeight="true" outlineLevel="0" collapsed="false">
      <c r="A45" s="11" t="s">
        <v>309</v>
      </c>
      <c r="B45" s="11" t="s">
        <v>249</v>
      </c>
      <c r="C45" s="11" t="s">
        <v>310</v>
      </c>
      <c r="D45" s="11" t="s">
        <v>311</v>
      </c>
      <c r="E45" s="0" t="n">
        <v>2012</v>
      </c>
    </row>
    <row r="46" customFormat="false" ht="15" hidden="false" customHeight="true" outlineLevel="0" collapsed="false">
      <c r="A46" s="11" t="s">
        <v>312</v>
      </c>
      <c r="B46" s="11" t="s">
        <v>313</v>
      </c>
      <c r="C46" s="11" t="s">
        <v>314</v>
      </c>
      <c r="D46" s="11" t="s">
        <v>315</v>
      </c>
      <c r="E46" s="0" t="n">
        <v>2005</v>
      </c>
      <c r="F46" s="0" t="n">
        <v>2010</v>
      </c>
    </row>
    <row r="47" customFormat="false" ht="15" hidden="false" customHeight="true" outlineLevel="0" collapsed="false">
      <c r="A47" s="11" t="s">
        <v>316</v>
      </c>
      <c r="B47" s="11" t="s">
        <v>317</v>
      </c>
      <c r="C47" s="11" t="s">
        <v>318</v>
      </c>
      <c r="D47" s="11" t="s">
        <v>319</v>
      </c>
      <c r="E47" s="0" t="n">
        <v>1982</v>
      </c>
      <c r="F47" s="0" t="n">
        <v>2022</v>
      </c>
    </row>
    <row r="48" customFormat="false" ht="15" hidden="false" customHeight="true" outlineLevel="0" collapsed="false">
      <c r="A48" s="11" t="s">
        <v>320</v>
      </c>
      <c r="B48" s="11" t="s">
        <v>321</v>
      </c>
      <c r="C48" s="11" t="s">
        <v>322</v>
      </c>
      <c r="D48" s="11" t="s">
        <v>323</v>
      </c>
      <c r="E48" s="0" t="n">
        <v>1975</v>
      </c>
    </row>
    <row r="49" customFormat="false" ht="15" hidden="false" customHeight="true" outlineLevel="0" collapsed="false">
      <c r="A49" s="11" t="s">
        <v>324</v>
      </c>
      <c r="B49" s="11" t="s">
        <v>194</v>
      </c>
      <c r="C49" s="11" t="s">
        <v>325</v>
      </c>
      <c r="D49" s="11" t="s">
        <v>326</v>
      </c>
      <c r="E49" s="0" t="n">
        <v>2004</v>
      </c>
    </row>
    <row r="50" customFormat="false" ht="15" hidden="false" customHeight="true" outlineLevel="0" collapsed="false">
      <c r="A50" s="11" t="s">
        <v>327</v>
      </c>
      <c r="B50" s="11" t="s">
        <v>35</v>
      </c>
      <c r="C50" s="11" t="s">
        <v>328</v>
      </c>
      <c r="D50" s="11" t="s">
        <v>329</v>
      </c>
      <c r="E50" s="0" t="n">
        <v>2000</v>
      </c>
    </row>
    <row r="51" customFormat="false" ht="15" hidden="false" customHeight="true" outlineLevel="0" collapsed="false">
      <c r="A51" s="11" t="s">
        <v>330</v>
      </c>
      <c r="B51" s="11" t="s">
        <v>180</v>
      </c>
      <c r="C51" s="11" t="s">
        <v>331</v>
      </c>
      <c r="D51" s="11" t="s">
        <v>332</v>
      </c>
      <c r="E51" s="0" t="n">
        <v>2008</v>
      </c>
    </row>
    <row r="52" customFormat="false" ht="15" hidden="false" customHeight="true" outlineLevel="0" collapsed="false">
      <c r="A52" s="11" t="s">
        <v>333</v>
      </c>
      <c r="B52" s="11" t="s">
        <v>334</v>
      </c>
      <c r="C52" s="11" t="s">
        <v>335</v>
      </c>
      <c r="D52" s="11" t="s">
        <v>336</v>
      </c>
      <c r="E52" s="0" t="n">
        <v>2017</v>
      </c>
    </row>
    <row r="53" customFormat="false" ht="15" hidden="false" customHeight="true" outlineLevel="0" collapsed="false">
      <c r="A53" s="11" t="s">
        <v>337</v>
      </c>
      <c r="B53" s="11" t="s">
        <v>65</v>
      </c>
      <c r="C53" s="11" t="s">
        <v>338</v>
      </c>
      <c r="D53" s="11" t="s">
        <v>339</v>
      </c>
      <c r="E53" s="0" t="n">
        <v>2011</v>
      </c>
    </row>
    <row r="54" customFormat="false" ht="15" hidden="false" customHeight="true" outlineLevel="0" collapsed="false">
      <c r="A54" s="11" t="s">
        <v>340</v>
      </c>
      <c r="B54" s="11" t="s">
        <v>341</v>
      </c>
      <c r="C54" s="11" t="s">
        <v>342</v>
      </c>
      <c r="D54" s="11" t="s">
        <v>343</v>
      </c>
      <c r="E54" s="0" t="n">
        <v>2021</v>
      </c>
      <c r="F54" s="0" t="n">
        <v>2022</v>
      </c>
    </row>
    <row r="55" customFormat="false" ht="15" hidden="false" customHeight="true" outlineLevel="0" collapsed="false">
      <c r="A55" s="11" t="s">
        <v>344</v>
      </c>
      <c r="B55" s="11" t="s">
        <v>345</v>
      </c>
      <c r="C55" s="11" t="s">
        <v>346</v>
      </c>
      <c r="D55" s="11" t="s">
        <v>343</v>
      </c>
      <c r="E55" s="0" t="n">
        <v>2008</v>
      </c>
      <c r="F55" s="0" t="n">
        <v>2025</v>
      </c>
    </row>
    <row r="56" customFormat="false" ht="15" hidden="false" customHeight="true" outlineLevel="0" collapsed="false">
      <c r="A56" s="11" t="s">
        <v>347</v>
      </c>
      <c r="B56" s="11" t="s">
        <v>348</v>
      </c>
      <c r="C56" s="11" t="s">
        <v>349</v>
      </c>
      <c r="D56" s="11" t="s">
        <v>350</v>
      </c>
      <c r="E56" s="0" t="n">
        <v>2000</v>
      </c>
      <c r="F56" s="0" t="n">
        <v>2003</v>
      </c>
    </row>
    <row r="57" customFormat="false" ht="15" hidden="false" customHeight="true" outlineLevel="0" collapsed="false">
      <c r="A57" s="11" t="s">
        <v>351</v>
      </c>
      <c r="B57" s="11" t="s">
        <v>177</v>
      </c>
      <c r="C57" s="11" t="s">
        <v>352</v>
      </c>
      <c r="D57" s="11" t="s">
        <v>350</v>
      </c>
      <c r="E57" s="0" t="n">
        <v>2006</v>
      </c>
      <c r="F57" s="0" t="n">
        <v>2006</v>
      </c>
    </row>
    <row r="58" customFormat="false" ht="15" hidden="false" customHeight="true" outlineLevel="0" collapsed="false">
      <c r="A58" s="11" t="s">
        <v>353</v>
      </c>
      <c r="B58" s="11" t="s">
        <v>354</v>
      </c>
      <c r="C58" s="11" t="s">
        <v>355</v>
      </c>
      <c r="D58" s="11" t="s">
        <v>356</v>
      </c>
      <c r="E58" s="0" t="n">
        <v>2011</v>
      </c>
      <c r="F58" s="0" t="n">
        <v>2022</v>
      </c>
    </row>
    <row r="59" customFormat="false" ht="15" hidden="false" customHeight="true" outlineLevel="0" collapsed="false">
      <c r="A59" s="11" t="s">
        <v>357</v>
      </c>
      <c r="B59" s="11" t="s">
        <v>358</v>
      </c>
      <c r="C59" s="11" t="s">
        <v>359</v>
      </c>
      <c r="D59" s="11" t="s">
        <v>360</v>
      </c>
      <c r="E59" s="0" t="n">
        <v>2005</v>
      </c>
      <c r="F59" s="0" t="n">
        <v>2012</v>
      </c>
    </row>
    <row r="60" customFormat="false" ht="15" hidden="false" customHeight="true" outlineLevel="0" collapsed="false">
      <c r="A60" s="11" t="s">
        <v>361</v>
      </c>
      <c r="B60" s="11" t="s">
        <v>267</v>
      </c>
      <c r="C60" s="11" t="s">
        <v>362</v>
      </c>
      <c r="D60" s="11" t="s">
        <v>363</v>
      </c>
      <c r="E60" s="0" t="n">
        <v>2008</v>
      </c>
      <c r="F60" s="0" t="n">
        <v>2008</v>
      </c>
    </row>
    <row r="61" customFormat="false" ht="15" hidden="false" customHeight="true" outlineLevel="0" collapsed="false">
      <c r="A61" s="11" t="s">
        <v>364</v>
      </c>
      <c r="B61" s="11" t="s">
        <v>365</v>
      </c>
      <c r="C61" s="11" t="s">
        <v>366</v>
      </c>
      <c r="D61" s="11" t="s">
        <v>367</v>
      </c>
      <c r="E61" s="0" t="n">
        <v>2000</v>
      </c>
      <c r="F61" s="0" t="n">
        <v>2001</v>
      </c>
    </row>
    <row r="62" customFormat="false" ht="15" hidden="false" customHeight="true" outlineLevel="0" collapsed="false">
      <c r="A62" s="11" t="s">
        <v>368</v>
      </c>
      <c r="B62" s="11" t="s">
        <v>241</v>
      </c>
      <c r="C62" s="11" t="s">
        <v>369</v>
      </c>
      <c r="D62" s="11" t="s">
        <v>370</v>
      </c>
      <c r="E62" s="0" t="n">
        <v>2021</v>
      </c>
    </row>
    <row r="63" customFormat="false" ht="15" hidden="false" customHeight="true" outlineLevel="0" collapsed="false">
      <c r="A63" s="11" t="s">
        <v>371</v>
      </c>
      <c r="B63" s="11" t="s">
        <v>372</v>
      </c>
      <c r="C63" s="11" t="s">
        <v>373</v>
      </c>
      <c r="D63" s="11" t="s">
        <v>374</v>
      </c>
      <c r="E63" s="0" t="n">
        <v>2000</v>
      </c>
      <c r="F63" s="0" t="n">
        <v>2007</v>
      </c>
    </row>
    <row r="64" customFormat="false" ht="15" hidden="false" customHeight="true" outlineLevel="0" collapsed="false">
      <c r="A64" s="11" t="s">
        <v>375</v>
      </c>
      <c r="B64" s="11" t="s">
        <v>376</v>
      </c>
      <c r="C64" s="11" t="s">
        <v>377</v>
      </c>
      <c r="D64" s="11" t="s">
        <v>378</v>
      </c>
      <c r="E64" s="0" t="n">
        <v>2010</v>
      </c>
    </row>
    <row r="65" customFormat="false" ht="15" hidden="false" customHeight="true" outlineLevel="0" collapsed="false">
      <c r="A65" s="11" t="s">
        <v>379</v>
      </c>
      <c r="B65" s="11" t="s">
        <v>380</v>
      </c>
      <c r="C65" s="11" t="s">
        <v>381</v>
      </c>
      <c r="D65" s="11" t="s">
        <v>382</v>
      </c>
      <c r="E65" s="0" t="n">
        <v>2012</v>
      </c>
      <c r="F65" s="0" t="n">
        <v>2013</v>
      </c>
    </row>
    <row r="66" customFormat="false" ht="15" hidden="false" customHeight="true" outlineLevel="0" collapsed="false">
      <c r="A66" s="11" t="s">
        <v>383</v>
      </c>
      <c r="B66" s="11" t="s">
        <v>35</v>
      </c>
      <c r="C66" s="11" t="s">
        <v>384</v>
      </c>
      <c r="D66" s="11" t="s">
        <v>385</v>
      </c>
      <c r="E66" s="0" t="n">
        <v>2000</v>
      </c>
    </row>
    <row r="67" customFormat="false" ht="15" hidden="false" customHeight="true" outlineLevel="0" collapsed="false">
      <c r="A67" s="11" t="s">
        <v>386</v>
      </c>
      <c r="B67" s="11" t="s">
        <v>387</v>
      </c>
      <c r="C67" s="11" t="s">
        <v>281</v>
      </c>
      <c r="D67" s="11" t="s">
        <v>388</v>
      </c>
      <c r="E67" s="0" t="n">
        <v>2013</v>
      </c>
      <c r="F67" s="0" t="n">
        <v>2017</v>
      </c>
    </row>
    <row r="68" customFormat="false" ht="15" hidden="false" customHeight="true" outlineLevel="0" collapsed="false">
      <c r="A68" s="11" t="s">
        <v>389</v>
      </c>
      <c r="B68" s="11" t="s">
        <v>390</v>
      </c>
      <c r="C68" s="11" t="s">
        <v>391</v>
      </c>
      <c r="D68" s="11" t="s">
        <v>392</v>
      </c>
      <c r="E68" s="0" t="n">
        <v>2003</v>
      </c>
      <c r="F68" s="0" t="n">
        <v>2003</v>
      </c>
    </row>
    <row r="69" customFormat="false" ht="15" hidden="false" customHeight="true" outlineLevel="0" collapsed="false">
      <c r="A69" s="11" t="s">
        <v>393</v>
      </c>
      <c r="B69" s="11" t="s">
        <v>394</v>
      </c>
      <c r="C69" s="11" t="s">
        <v>395</v>
      </c>
      <c r="D69" s="11" t="s">
        <v>396</v>
      </c>
      <c r="E69" s="0" t="n">
        <v>1999</v>
      </c>
      <c r="F69" s="0" t="n">
        <v>2001</v>
      </c>
    </row>
    <row r="70" customFormat="false" ht="27.75" hidden="false" customHeight="true" outlineLevel="0" collapsed="false">
      <c r="A70" s="11" t="s">
        <v>116</v>
      </c>
      <c r="B70" s="11" t="s">
        <v>397</v>
      </c>
      <c r="C70" s="11" t="s">
        <v>398</v>
      </c>
      <c r="D70" s="11" t="s">
        <v>399</v>
      </c>
      <c r="E70" s="0" t="n">
        <v>2022</v>
      </c>
      <c r="F70" s="0" t="n">
        <v>2022</v>
      </c>
    </row>
    <row r="71" customFormat="false" ht="15" hidden="false" customHeight="true" outlineLevel="0" collapsed="false">
      <c r="A71" s="11" t="s">
        <v>400</v>
      </c>
      <c r="B71" s="11" t="s">
        <v>401</v>
      </c>
      <c r="C71" s="11" t="s">
        <v>402</v>
      </c>
      <c r="D71" s="11" t="s">
        <v>403</v>
      </c>
      <c r="E71" s="0" t="n">
        <v>2016</v>
      </c>
      <c r="F71" s="0" t="n">
        <v>2018</v>
      </c>
    </row>
    <row r="72" customFormat="false" ht="15" hidden="false" customHeight="true" outlineLevel="0" collapsed="false">
      <c r="A72" s="11" t="s">
        <v>404</v>
      </c>
      <c r="B72" s="11" t="s">
        <v>405</v>
      </c>
      <c r="C72" s="11" t="s">
        <v>406</v>
      </c>
      <c r="D72" s="11" t="s">
        <v>407</v>
      </c>
      <c r="E72" s="0" t="n">
        <v>1999</v>
      </c>
      <c r="F72" s="0" t="n">
        <v>2007</v>
      </c>
    </row>
    <row r="73" customFormat="false" ht="15" hidden="false" customHeight="true" outlineLevel="0" collapsed="false">
      <c r="A73" s="11" t="s">
        <v>408</v>
      </c>
      <c r="B73" s="11" t="s">
        <v>35</v>
      </c>
      <c r="C73" s="11" t="s">
        <v>409</v>
      </c>
      <c r="D73" s="11" t="s">
        <v>410</v>
      </c>
      <c r="E73" s="0" t="n">
        <v>2000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 width="10"/>
    <col collapsed="false" customWidth="true" hidden="false" outlineLevel="0" max="2" min="2" style="3" width="34"/>
    <col collapsed="false" customWidth="true" hidden="false" outlineLevel="0" max="3" min="3" style="3" width="32"/>
  </cols>
  <sheetData>
    <row r="1" customFormat="false" ht="27.75" hidden="false" customHeight="true" outlineLevel="0" collapsed="false">
      <c r="A1" s="4" t="s">
        <v>6</v>
      </c>
      <c r="B1" s="4" t="s">
        <v>411</v>
      </c>
      <c r="C1" s="4" t="s">
        <v>412</v>
      </c>
    </row>
    <row r="2" customFormat="false" ht="15" hidden="false" customHeight="true" outlineLevel="0" collapsed="false">
      <c r="A2" s="11" t="s">
        <v>40</v>
      </c>
      <c r="B2" s="11" t="n">
        <v>3</v>
      </c>
      <c r="C2" s="11" t="n">
        <f aca="false">COUNTIF(Conflicts!$C$2:$C$73,"*"&amp;A2&amp;"*")</f>
        <v>4</v>
      </c>
    </row>
    <row r="3" customFormat="false" ht="15" hidden="false" customHeight="true" outlineLevel="0" collapsed="false">
      <c r="A3" s="11" t="s">
        <v>221</v>
      </c>
      <c r="B3" s="11" t="n">
        <v>3</v>
      </c>
      <c r="C3" s="11" t="n">
        <f aca="false">COUNTIF(Conflicts!$C$2:$C$73,"*"&amp;A3&amp;"*")</f>
        <v>4</v>
      </c>
    </row>
    <row r="4" customFormat="false" ht="15" hidden="false" customHeight="true" outlineLevel="0" collapsed="false">
      <c r="A4" s="11" t="s">
        <v>413</v>
      </c>
      <c r="B4" s="11" t="n">
        <v>3</v>
      </c>
      <c r="C4" s="11" t="n">
        <f aca="false">COUNTIF(Conflicts!$C$2:$C$73,"*"&amp;A4&amp;"*")</f>
        <v>8</v>
      </c>
    </row>
    <row r="5" customFormat="false" ht="15" hidden="false" customHeight="true" outlineLevel="0" collapsed="false">
      <c r="A5" s="11" t="s">
        <v>231</v>
      </c>
      <c r="B5" s="11" t="n">
        <v>3</v>
      </c>
      <c r="C5" s="11" t="n">
        <f aca="false">COUNTIF(Conflicts!$C$2:$C$73,"*"&amp;A5&amp;"*")</f>
        <v>7</v>
      </c>
    </row>
    <row r="6" customFormat="false" ht="15" hidden="false" customHeight="true" outlineLevel="0" collapsed="false">
      <c r="A6" s="11" t="s">
        <v>26</v>
      </c>
      <c r="B6" s="11" t="n">
        <v>3</v>
      </c>
      <c r="C6" s="11" t="n">
        <f aca="false">COUNTIF(Conflicts!$C$2:$C$73,"*"&amp;A6&amp;"*")</f>
        <v>3</v>
      </c>
    </row>
    <row r="7" customFormat="false" ht="15" hidden="false" customHeight="true" outlineLevel="0" collapsed="false">
      <c r="A7" s="11" t="s">
        <v>55</v>
      </c>
      <c r="B7" s="11" t="n">
        <v>3</v>
      </c>
      <c r="C7" s="11" t="n">
        <f aca="false">COUNTIF(Conflicts!$C$2:$C$73,"*"&amp;A7&amp;"*")</f>
        <v>4</v>
      </c>
    </row>
    <row r="8" customFormat="false" ht="15" hidden="false" customHeight="true" outlineLevel="0" collapsed="false">
      <c r="A8" s="11" t="s">
        <v>414</v>
      </c>
      <c r="B8" s="11" t="n">
        <v>3</v>
      </c>
      <c r="C8" s="11" t="n">
        <f aca="false">COUNTIF(Conflicts!$C$2:$C$73,"*"&amp;A8&amp;"*")</f>
        <v>3</v>
      </c>
    </row>
    <row r="9" customFormat="false" ht="15" hidden="false" customHeight="true" outlineLevel="0" collapsed="false">
      <c r="A9" s="11" t="s">
        <v>48</v>
      </c>
      <c r="B9" s="11" t="n">
        <v>3</v>
      </c>
      <c r="C9" s="11" t="n">
        <f aca="false">COUNTIF(Conflicts!$C$2:$C$73,"*"&amp;A9&amp;"*")</f>
        <v>6</v>
      </c>
    </row>
    <row r="10" customFormat="false" ht="15" hidden="false" customHeight="true" outlineLevel="0" collapsed="false">
      <c r="A10" s="11" t="s">
        <v>70</v>
      </c>
      <c r="B10" s="11" t="n">
        <v>3</v>
      </c>
      <c r="C10" s="11" t="n">
        <f aca="false">COUNTIF(Conflicts!$C$2:$C$73,"*"&amp;A10&amp;"*")</f>
        <v>4</v>
      </c>
    </row>
    <row r="11" customFormat="false" ht="15" hidden="false" customHeight="true" outlineLevel="0" collapsed="false">
      <c r="A11" s="11" t="s">
        <v>19</v>
      </c>
      <c r="B11" s="11" t="n">
        <v>2</v>
      </c>
      <c r="C11" s="11" t="n">
        <f aca="false">COUNTIF(Conflicts!$C$2:$C$73,"*"&amp;A11&amp;"*")</f>
        <v>2</v>
      </c>
    </row>
    <row r="12" customFormat="false" ht="15" hidden="false" customHeight="true" outlineLevel="0" collapsed="false">
      <c r="A12" s="11" t="s">
        <v>109</v>
      </c>
      <c r="B12" s="11" t="n">
        <v>2</v>
      </c>
      <c r="C12" s="11" t="n">
        <f aca="false">COUNTIF(Conflicts!$C$2:$C$73,"*"&amp;A12&amp;"*")</f>
        <v>2</v>
      </c>
    </row>
    <row r="13" customFormat="false" ht="15" hidden="false" customHeight="true" outlineLevel="0" collapsed="false">
      <c r="A13" s="11" t="s">
        <v>415</v>
      </c>
      <c r="B13" s="11" t="n">
        <v>2</v>
      </c>
      <c r="C13" s="11" t="n">
        <f aca="false">COUNTIF(Conflicts!$C$2:$C$73,"*"&amp;A13&amp;"*")</f>
        <v>3</v>
      </c>
    </row>
    <row r="14" customFormat="false" ht="15" hidden="false" customHeight="true" outlineLevel="0" collapsed="false">
      <c r="A14" s="11" t="s">
        <v>406</v>
      </c>
      <c r="B14" s="11" t="n">
        <v>2</v>
      </c>
      <c r="C14" s="11" t="n">
        <f aca="false">COUNTIF(Conflicts!$C$2:$C$73,"*"&amp;A14&amp;"*")</f>
        <v>2</v>
      </c>
    </row>
    <row r="15" customFormat="false" ht="15" hidden="false" customHeight="true" outlineLevel="0" collapsed="false">
      <c r="A15" s="11" t="s">
        <v>159</v>
      </c>
      <c r="B15" s="11" t="n">
        <v>2</v>
      </c>
      <c r="C15" s="11" t="n">
        <f aca="false">COUNTIF(Conflicts!$C$2:$C$73,"*"&amp;A15&amp;"*")</f>
        <v>8</v>
      </c>
    </row>
    <row r="16" customFormat="false" ht="15" hidden="false" customHeight="true" outlineLevel="0" collapsed="false">
      <c r="A16" s="11" t="s">
        <v>416</v>
      </c>
      <c r="B16" s="11" t="n">
        <v>2</v>
      </c>
      <c r="C16" s="11" t="n">
        <f aca="false">COUNTIF(Conflicts!$C$2:$C$73,"*"&amp;A16&amp;"*")</f>
        <v>2</v>
      </c>
    </row>
    <row r="17" customFormat="false" ht="15" hidden="false" customHeight="true" outlineLevel="0" collapsed="false">
      <c r="A17" s="11" t="s">
        <v>417</v>
      </c>
      <c r="B17" s="11" t="n">
        <v>2</v>
      </c>
      <c r="C17" s="11" t="n">
        <f aca="false">COUNTIF(Conflicts!$C$2:$C$73,"*"&amp;A17&amp;"*")</f>
        <v>2</v>
      </c>
    </row>
    <row r="18" customFormat="false" ht="15" hidden="false" customHeight="true" outlineLevel="0" collapsed="false">
      <c r="A18" s="11" t="s">
        <v>384</v>
      </c>
      <c r="B18" s="11" t="n">
        <v>2</v>
      </c>
      <c r="C18" s="11" t="n">
        <f aca="false">COUNTIF(Conflicts!$C$2:$C$73,"*"&amp;A18&amp;"*")</f>
        <v>2</v>
      </c>
    </row>
    <row r="19" customFormat="false" ht="15" hidden="false" customHeight="true" outlineLevel="0" collapsed="false">
      <c r="A19" s="11" t="s">
        <v>418</v>
      </c>
      <c r="B19" s="11" t="n">
        <v>2</v>
      </c>
      <c r="C19" s="11" t="n">
        <f aca="false">COUNTIF(Conflicts!$C$2:$C$73,"*"&amp;A19&amp;"*")</f>
        <v>2</v>
      </c>
    </row>
    <row r="20" customFormat="false" ht="15" hidden="false" customHeight="true" outlineLevel="0" collapsed="false">
      <c r="A20" s="11" t="s">
        <v>419</v>
      </c>
      <c r="B20" s="11" t="n">
        <v>2</v>
      </c>
      <c r="C20" s="11" t="n">
        <f aca="false">COUNTIF(Conflicts!$C$2:$C$73,"*"&amp;A20&amp;"*")</f>
        <v>4</v>
      </c>
    </row>
    <row r="21" customFormat="false" ht="15" hidden="false" customHeight="true" outlineLevel="0" collapsed="false">
      <c r="A21" s="11" t="s">
        <v>62</v>
      </c>
      <c r="B21" s="11" t="n">
        <v>2</v>
      </c>
      <c r="C21" s="11" t="n">
        <f aca="false">COUNTIF(Conflicts!$C$2:$C$73,"*"&amp;A21&amp;"*")</f>
        <v>2</v>
      </c>
    </row>
    <row r="22" customFormat="false" ht="15" hidden="false" customHeight="true" outlineLevel="0" collapsed="false">
      <c r="A22" s="11" t="s">
        <v>264</v>
      </c>
      <c r="B22" s="11" t="n">
        <v>2</v>
      </c>
      <c r="C22" s="11" t="n">
        <f aca="false">COUNTIF(Conflicts!$C$2:$C$73,"*"&amp;A22&amp;"*")</f>
        <v>8</v>
      </c>
    </row>
    <row r="23" customFormat="false" ht="15" hidden="false" customHeight="true" outlineLevel="0" collapsed="false">
      <c r="A23" s="11" t="s">
        <v>420</v>
      </c>
      <c r="B23" s="11" t="n">
        <v>2</v>
      </c>
      <c r="C23" s="11" t="n">
        <f aca="false">COUNTIF(Conflicts!$C$2:$C$73,"*"&amp;A23&amp;"*")</f>
        <v>3</v>
      </c>
    </row>
    <row r="24" customFormat="false" ht="15" hidden="false" customHeight="true" outlineLevel="0" collapsed="false">
      <c r="A24" s="11" t="s">
        <v>421</v>
      </c>
      <c r="B24" s="11" t="n">
        <v>2</v>
      </c>
      <c r="C24" s="11" t="n">
        <f aca="false">COUNTIF(Conflicts!$C$2:$C$73,"*"&amp;A24&amp;"*")</f>
        <v>5</v>
      </c>
    </row>
    <row r="25" customFormat="false" ht="15" hidden="false" customHeight="true" outlineLevel="0" collapsed="false">
      <c r="A25" s="11" t="s">
        <v>422</v>
      </c>
      <c r="B25" s="11" t="n">
        <v>2</v>
      </c>
      <c r="C25" s="11" t="n">
        <f aca="false">COUNTIF(Conflicts!$C$2:$C$73,"*"&amp;A25&amp;"*")</f>
        <v>5</v>
      </c>
    </row>
    <row r="26" customFormat="false" ht="15" hidden="false" customHeight="true" outlineLevel="0" collapsed="false">
      <c r="A26" s="11" t="s">
        <v>96</v>
      </c>
      <c r="B26" s="11" t="n">
        <v>2</v>
      </c>
      <c r="C26" s="11" t="n">
        <f aca="false">COUNTIF(Conflicts!$C$2:$C$73,"*"&amp;A26&amp;"*")</f>
        <v>2</v>
      </c>
    </row>
    <row r="27" customFormat="false" ht="15" hidden="false" customHeight="true" outlineLevel="0" collapsed="false">
      <c r="A27" s="11" t="s">
        <v>423</v>
      </c>
      <c r="B27" s="11" t="n">
        <v>1</v>
      </c>
      <c r="C27" s="11" t="n">
        <f aca="false">COUNTIF(Conflicts!$C$2:$C$73,"*"&amp;A27&amp;"*")</f>
        <v>1</v>
      </c>
    </row>
    <row r="28" customFormat="false" ht="15" hidden="false" customHeight="true" outlineLevel="0" collapsed="false">
      <c r="A28" s="11" t="s">
        <v>424</v>
      </c>
      <c r="B28" s="11" t="n">
        <v>1</v>
      </c>
      <c r="C28" s="11" t="n">
        <f aca="false">COUNTIF(Conflicts!$C$2:$C$73,"*"&amp;A28&amp;"*")</f>
        <v>1</v>
      </c>
    </row>
    <row r="29" customFormat="false" ht="15" hidden="false" customHeight="true" outlineLevel="0" collapsed="false">
      <c r="A29" s="11" t="s">
        <v>425</v>
      </c>
      <c r="B29" s="11" t="n">
        <v>1</v>
      </c>
      <c r="C29" s="11" t="n">
        <f aca="false">COUNTIF(Conflicts!$C$2:$C$73,"*"&amp;A29&amp;"*")</f>
        <v>1</v>
      </c>
    </row>
    <row r="30" customFormat="false" ht="15" hidden="false" customHeight="true" outlineLevel="0" collapsed="false">
      <c r="A30" s="11" t="s">
        <v>426</v>
      </c>
      <c r="B30" s="11" t="n">
        <v>1</v>
      </c>
      <c r="C30" s="11" t="n">
        <f aca="false">COUNTIF(Conflicts!$C$2:$C$73,"*"&amp;A30&amp;"*")</f>
        <v>2</v>
      </c>
    </row>
    <row r="31" customFormat="false" ht="15" hidden="false" customHeight="true" outlineLevel="0" collapsed="false">
      <c r="A31" s="11" t="s">
        <v>427</v>
      </c>
      <c r="B31" s="11" t="n">
        <v>1</v>
      </c>
      <c r="C31" s="11" t="n">
        <f aca="false">COUNTIF(Conflicts!$C$2:$C$73,"*"&amp;A31&amp;"*")</f>
        <v>2</v>
      </c>
    </row>
    <row r="32" customFormat="false" ht="15" hidden="false" customHeight="true" outlineLevel="0" collapsed="false">
      <c r="A32" s="11" t="s">
        <v>428</v>
      </c>
      <c r="B32" s="11" t="n">
        <v>1</v>
      </c>
      <c r="C32" s="11" t="n">
        <f aca="false">COUNTIF(Conflicts!$C$2:$C$73,"*"&amp;A32&amp;"*")</f>
        <v>1</v>
      </c>
    </row>
    <row r="33" customFormat="false" ht="15" hidden="false" customHeight="true" outlineLevel="0" collapsed="false">
      <c r="A33" s="11" t="s">
        <v>429</v>
      </c>
      <c r="B33" s="11" t="n">
        <v>1</v>
      </c>
      <c r="C33" s="11" t="n">
        <f aca="false">COUNTIF(Conflicts!$C$2:$C$73,"*"&amp;A33&amp;"*")</f>
        <v>1</v>
      </c>
    </row>
    <row r="34" customFormat="false" ht="15" hidden="false" customHeight="true" outlineLevel="0" collapsed="false">
      <c r="A34" s="11" t="s">
        <v>430</v>
      </c>
      <c r="B34" s="11" t="n">
        <v>1</v>
      </c>
      <c r="C34" s="11" t="n">
        <f aca="false">COUNTIF(Conflicts!$C$2:$C$73,"*"&amp;A34&amp;"*")</f>
        <v>3</v>
      </c>
    </row>
    <row r="35" customFormat="false" ht="15" hidden="false" customHeight="true" outlineLevel="0" collapsed="false">
      <c r="A35" s="11" t="s">
        <v>431</v>
      </c>
      <c r="B35" s="11" t="n">
        <v>1</v>
      </c>
      <c r="C35" s="11" t="n">
        <f aca="false">COUNTIF(Conflicts!$C$2:$C$73,"*"&amp;A35&amp;"*")</f>
        <v>1</v>
      </c>
    </row>
    <row r="36" customFormat="false" ht="15" hidden="false" customHeight="true" outlineLevel="0" collapsed="false">
      <c r="A36" s="11" t="s">
        <v>432</v>
      </c>
      <c r="B36" s="11" t="n">
        <v>1</v>
      </c>
      <c r="C36" s="11" t="n">
        <f aca="false">COUNTIF(Conflicts!$C$2:$C$73,"*"&amp;A36&amp;"*")</f>
        <v>2</v>
      </c>
    </row>
    <row r="37" customFormat="false" ht="15" hidden="false" customHeight="true" outlineLevel="0" collapsed="false">
      <c r="A37" s="11" t="s">
        <v>433</v>
      </c>
      <c r="B37" s="11" t="n">
        <v>1</v>
      </c>
      <c r="C37" s="11" t="n">
        <f aca="false">COUNTIF(Conflicts!$C$2:$C$73,"*"&amp;A37&amp;"*")</f>
        <v>2</v>
      </c>
    </row>
    <row r="38" customFormat="false" ht="15" hidden="false" customHeight="true" outlineLevel="0" collapsed="false">
      <c r="A38" s="11" t="s">
        <v>434</v>
      </c>
      <c r="B38" s="11" t="n">
        <v>1</v>
      </c>
      <c r="C38" s="11" t="n">
        <f aca="false">COUNTIF(Conflicts!$C$2:$C$73,"*"&amp;A38&amp;"*")</f>
        <v>2</v>
      </c>
    </row>
    <row r="39" customFormat="false" ht="15" hidden="false" customHeight="true" outlineLevel="0" collapsed="false">
      <c r="A39" s="11" t="s">
        <v>435</v>
      </c>
      <c r="B39" s="11" t="n">
        <v>1</v>
      </c>
      <c r="C39" s="11" t="n">
        <f aca="false">COUNTIF(Conflicts!$C$2:$C$73,"*"&amp;A39&amp;"*")</f>
        <v>3</v>
      </c>
    </row>
    <row r="40" customFormat="false" ht="15" hidden="false" customHeight="true" outlineLevel="0" collapsed="false">
      <c r="A40" s="11" t="s">
        <v>436</v>
      </c>
      <c r="B40" s="11" t="n">
        <v>1</v>
      </c>
      <c r="C40" s="11" t="n">
        <f aca="false">COUNTIF(Conflicts!$C$2:$C$73,"*"&amp;A40&amp;"*")</f>
        <v>1</v>
      </c>
    </row>
    <row r="41" customFormat="false" ht="15" hidden="false" customHeight="true" outlineLevel="0" collapsed="false">
      <c r="A41" s="11" t="s">
        <v>437</v>
      </c>
      <c r="B41" s="11" t="n">
        <v>1</v>
      </c>
      <c r="C41" s="11" t="n">
        <f aca="false">COUNTIF(Conflicts!$C$2:$C$73,"*"&amp;A41&amp;"*")</f>
        <v>3</v>
      </c>
    </row>
    <row r="42" customFormat="false" ht="15" hidden="false" customHeight="true" outlineLevel="0" collapsed="false">
      <c r="A42" s="11" t="s">
        <v>438</v>
      </c>
      <c r="B42" s="11" t="n">
        <v>1</v>
      </c>
      <c r="C42" s="11" t="n">
        <f aca="false">COUNTIF(Conflicts!$C$2:$C$73,"*"&amp;A42&amp;"*")</f>
        <v>1</v>
      </c>
    </row>
    <row r="43" customFormat="false" ht="15" hidden="false" customHeight="true" outlineLevel="0" collapsed="false">
      <c r="A43" s="11" t="s">
        <v>439</v>
      </c>
      <c r="B43" s="11" t="n">
        <v>1</v>
      </c>
      <c r="C43" s="11" t="n">
        <f aca="false">COUNTIF(Conflicts!$C$2:$C$73,"*"&amp;A43&amp;"*")</f>
        <v>2</v>
      </c>
    </row>
    <row r="44" customFormat="false" ht="15" hidden="false" customHeight="true" outlineLevel="0" collapsed="false">
      <c r="A44" s="11" t="s">
        <v>440</v>
      </c>
      <c r="B44" s="11" t="n">
        <v>1</v>
      </c>
      <c r="C44" s="11" t="n">
        <f aca="false">COUNTIF(Conflicts!$C$2:$C$73,"*"&amp;A44&amp;"*")</f>
        <v>1</v>
      </c>
    </row>
    <row r="45" customFormat="false" ht="15" hidden="false" customHeight="true" outlineLevel="0" collapsed="false">
      <c r="A45" s="11" t="s">
        <v>441</v>
      </c>
      <c r="B45" s="11" t="n">
        <v>1</v>
      </c>
      <c r="C45" s="11" t="n">
        <f aca="false">COUNTIF(Conflicts!$C$2:$C$73,"*"&amp;A45&amp;"*")</f>
        <v>1</v>
      </c>
    </row>
    <row r="46" customFormat="false" ht="15" hidden="false" customHeight="true" outlineLevel="0" collapsed="false">
      <c r="A46" s="11" t="s">
        <v>442</v>
      </c>
      <c r="B46" s="11" t="n">
        <v>1</v>
      </c>
      <c r="C46" s="11" t="n">
        <f aca="false">COUNTIF(Conflicts!$C$2:$C$73,"*"&amp;A46&amp;"*")</f>
        <v>1</v>
      </c>
    </row>
    <row r="47" customFormat="false" ht="15" hidden="false" customHeight="true" outlineLevel="0" collapsed="false">
      <c r="A47" s="11" t="s">
        <v>325</v>
      </c>
      <c r="B47" s="11" t="n">
        <v>1</v>
      </c>
      <c r="C47" s="11" t="n">
        <f aca="false">COUNTIF(Conflicts!$C$2:$C$73,"*"&amp;A47&amp;"*")</f>
        <v>1</v>
      </c>
    </row>
    <row r="48" customFormat="false" ht="15" hidden="false" customHeight="true" outlineLevel="0" collapsed="false">
      <c r="A48" s="11" t="s">
        <v>443</v>
      </c>
      <c r="B48" s="11" t="n">
        <v>1</v>
      </c>
      <c r="C48" s="11" t="n">
        <f aca="false">COUNTIF(Conflicts!$C$2:$C$73,"*"&amp;A48&amp;"*")</f>
        <v>2</v>
      </c>
    </row>
    <row r="49" customFormat="false" ht="15" hidden="false" customHeight="true" outlineLevel="0" collapsed="false">
      <c r="A49" s="11" t="s">
        <v>444</v>
      </c>
      <c r="B49" s="11" t="n">
        <v>1</v>
      </c>
      <c r="C49" s="11" t="n">
        <f aca="false">COUNTIF(Conflicts!$C$2:$C$73,"*"&amp;A49&amp;"*")</f>
        <v>2</v>
      </c>
    </row>
    <row r="50" customFormat="false" ht="15" hidden="false" customHeight="true" outlineLevel="0" collapsed="false">
      <c r="A50" s="11" t="s">
        <v>445</v>
      </c>
      <c r="B50" s="11" t="n">
        <v>1</v>
      </c>
      <c r="C50" s="11" t="n">
        <f aca="false">COUNTIF(Conflicts!$C$2:$C$73,"*"&amp;A50&amp;"*")</f>
        <v>1</v>
      </c>
    </row>
    <row r="51" customFormat="false" ht="15" hidden="false" customHeight="true" outlineLevel="0" collapsed="false">
      <c r="A51" s="11" t="s">
        <v>446</v>
      </c>
      <c r="B51" s="11" t="n">
        <v>1</v>
      </c>
      <c r="C51" s="11" t="n">
        <f aca="false">COUNTIF(Conflicts!$C$2:$C$73,"*"&amp;A51&amp;"*")</f>
        <v>1</v>
      </c>
    </row>
    <row r="52" customFormat="false" ht="15" hidden="false" customHeight="true" outlineLevel="0" collapsed="false">
      <c r="A52" s="11" t="s">
        <v>447</v>
      </c>
      <c r="B52" s="11" t="n">
        <v>1</v>
      </c>
      <c r="C52" s="11" t="n">
        <f aca="false">COUNTIF(Conflicts!$C$2:$C$73,"*"&amp;A52&amp;"*")</f>
        <v>2</v>
      </c>
    </row>
    <row r="53" customFormat="false" ht="15" hidden="false" customHeight="true" outlineLevel="0" collapsed="false">
      <c r="A53" s="11" t="s">
        <v>448</v>
      </c>
      <c r="B53" s="11" t="n">
        <v>1</v>
      </c>
      <c r="C53" s="11" t="n">
        <f aca="false">COUNTIF(Conflicts!$C$2:$C$73,"*"&amp;A53&amp;"*")</f>
        <v>2</v>
      </c>
    </row>
    <row r="54" customFormat="false" ht="15" hidden="false" customHeight="true" outlineLevel="0" collapsed="false">
      <c r="A54" s="11" t="s">
        <v>449</v>
      </c>
      <c r="B54" s="11" t="n">
        <v>1</v>
      </c>
      <c r="C54" s="11" t="n">
        <f aca="false">COUNTIF(Conflicts!$C$2:$C$73,"*"&amp;A54&amp;"*")</f>
        <v>1</v>
      </c>
    </row>
    <row r="55" customFormat="false" ht="15" hidden="false" customHeight="true" outlineLevel="0" collapsed="false">
      <c r="A55" s="11" t="s">
        <v>450</v>
      </c>
      <c r="B55" s="11" t="n">
        <v>1</v>
      </c>
      <c r="C55" s="11" t="n">
        <f aca="false">COUNTIF(Conflicts!$C$2:$C$73,"*"&amp;A55&amp;"*")</f>
        <v>2</v>
      </c>
    </row>
    <row r="56" customFormat="false" ht="15" hidden="false" customHeight="true" outlineLevel="0" collapsed="false">
      <c r="A56" s="11" t="s">
        <v>451</v>
      </c>
      <c r="B56" s="11" t="n">
        <v>1</v>
      </c>
      <c r="C56" s="11" t="n">
        <f aca="false">COUNTIF(Conflicts!$C$2:$C$73,"*"&amp;A56&amp;"*")</f>
        <v>1</v>
      </c>
    </row>
    <row r="57" customFormat="false" ht="15" hidden="false" customHeight="true" outlineLevel="0" collapsed="false">
      <c r="A57" s="11" t="s">
        <v>452</v>
      </c>
      <c r="B57" s="11" t="n">
        <v>1</v>
      </c>
      <c r="C57" s="11" t="n">
        <f aca="false">COUNTIF(Conflicts!$C$2:$C$73,"*"&amp;A57&amp;"*")</f>
        <v>3</v>
      </c>
    </row>
    <row r="58" customFormat="false" ht="15" hidden="false" customHeight="true" outlineLevel="0" collapsed="false">
      <c r="A58" s="11" t="s">
        <v>453</v>
      </c>
      <c r="B58" s="11" t="n">
        <v>1</v>
      </c>
      <c r="C58" s="11" t="n">
        <f aca="false">COUNTIF(Conflicts!$C$2:$C$73,"*"&amp;A58&amp;"*")</f>
        <v>1</v>
      </c>
    </row>
    <row r="59" customFormat="false" ht="15" hidden="false" customHeight="true" outlineLevel="0" collapsed="false">
      <c r="A59" s="11" t="s">
        <v>454</v>
      </c>
      <c r="B59" s="11" t="n">
        <v>1</v>
      </c>
      <c r="C59" s="11" t="n">
        <f aca="false">COUNTIF(Conflicts!$C$2:$C$73,"*"&amp;A59&amp;"*")</f>
        <v>3</v>
      </c>
    </row>
    <row r="60" customFormat="false" ht="15" hidden="false" customHeight="true" outlineLevel="0" collapsed="false">
      <c r="A60" s="11" t="s">
        <v>455</v>
      </c>
      <c r="B60" s="11" t="n">
        <v>1</v>
      </c>
      <c r="C60" s="11" t="n">
        <f aca="false">COUNTIF(Conflicts!$C$2:$C$73,"*"&amp;A60&amp;"*")</f>
        <v>1</v>
      </c>
    </row>
    <row r="61" customFormat="false" ht="15" hidden="false" customHeight="true" outlineLevel="0" collapsed="false">
      <c r="A61" s="11" t="s">
        <v>328</v>
      </c>
      <c r="B61" s="11" t="n">
        <v>1</v>
      </c>
      <c r="C61" s="11" t="n">
        <f aca="false">COUNTIF(Conflicts!$C$2:$C$73,"*"&amp;A61&amp;"*")</f>
        <v>1</v>
      </c>
    </row>
    <row r="62" customFormat="false" ht="15" hidden="false" customHeight="true" outlineLevel="0" collapsed="false">
      <c r="A62" s="11" t="s">
        <v>456</v>
      </c>
      <c r="B62" s="11" t="n">
        <v>1</v>
      </c>
      <c r="C62" s="11" t="n">
        <f aca="false">COUNTIF(Conflicts!$C$2:$C$73,"*"&amp;A62&amp;"*")</f>
        <v>1</v>
      </c>
    </row>
    <row r="63" customFormat="false" ht="15" hidden="false" customHeight="true" outlineLevel="0" collapsed="false">
      <c r="A63" s="11" t="s">
        <v>331</v>
      </c>
      <c r="B63" s="11" t="n">
        <v>1</v>
      </c>
      <c r="C63" s="11" t="n">
        <f aca="false">COUNTIF(Conflicts!$C$2:$C$73,"*"&amp;A63&amp;"*")</f>
        <v>1</v>
      </c>
    </row>
    <row r="64" customFormat="false" ht="15" hidden="false" customHeight="true" outlineLevel="0" collapsed="false">
      <c r="A64" s="11" t="s">
        <v>457</v>
      </c>
      <c r="B64" s="11" t="n">
        <v>1</v>
      </c>
      <c r="C64" s="11" t="n">
        <f aca="false">COUNTIF(Conflicts!$C$2:$C$73,"*"&amp;A64&amp;"*")</f>
        <v>1</v>
      </c>
    </row>
    <row r="65" customFormat="false" ht="15" hidden="false" customHeight="true" outlineLevel="0" collapsed="false">
      <c r="A65" s="11" t="s">
        <v>458</v>
      </c>
      <c r="B65" s="11" t="n">
        <v>1</v>
      </c>
      <c r="C65" s="11" t="n">
        <f aca="false">COUNTIF(Conflicts!$C$2:$C$73,"*"&amp;A65&amp;"*")</f>
        <v>3</v>
      </c>
    </row>
    <row r="66" customFormat="false" ht="15" hidden="false" customHeight="true" outlineLevel="0" collapsed="false">
      <c r="A66" s="11" t="s">
        <v>459</v>
      </c>
      <c r="B66" s="11" t="n">
        <v>1</v>
      </c>
      <c r="C66" s="11" t="n">
        <f aca="false">COUNTIF(Conflicts!$C$2:$C$73,"*"&amp;A66&amp;"*")</f>
        <v>2</v>
      </c>
    </row>
    <row r="67" customFormat="false" ht="15" hidden="false" customHeight="true" outlineLevel="0" collapsed="false">
      <c r="A67" s="11" t="s">
        <v>349</v>
      </c>
      <c r="B67" s="11" t="n">
        <v>1</v>
      </c>
      <c r="C67" s="11" t="n">
        <f aca="false">COUNTIF(Conflicts!$C$2:$C$73,"*"&amp;A67&amp;"*")</f>
        <v>1</v>
      </c>
    </row>
    <row r="68" customFormat="false" ht="15" hidden="false" customHeight="true" outlineLevel="0" collapsed="false">
      <c r="A68" s="11" t="s">
        <v>460</v>
      </c>
      <c r="B68" s="11" t="n">
        <v>1</v>
      </c>
      <c r="C68" s="11" t="n">
        <f aca="false">COUNTIF(Conflicts!$C$2:$C$73,"*"&amp;A68&amp;"*")</f>
        <v>1</v>
      </c>
    </row>
    <row r="69" customFormat="false" ht="15" hidden="false" customHeight="true" outlineLevel="0" collapsed="false">
      <c r="A69" s="11" t="s">
        <v>461</v>
      </c>
      <c r="B69" s="11" t="n">
        <v>1</v>
      </c>
      <c r="C69" s="11" t="n">
        <f aca="false">COUNTIF(Conflicts!$C$2:$C$73,"*"&amp;A69&amp;"*")</f>
        <v>1</v>
      </c>
    </row>
    <row r="70" customFormat="false" ht="15" hidden="false" customHeight="true" outlineLevel="0" collapsed="false">
      <c r="A70" s="11" t="s">
        <v>462</v>
      </c>
      <c r="B70" s="11" t="n">
        <v>1</v>
      </c>
      <c r="C70" s="11" t="n">
        <f aca="false">COUNTIF(Conflicts!$C$2:$C$73,"*"&amp;A70&amp;"*")</f>
        <v>2</v>
      </c>
    </row>
    <row r="71" customFormat="false" ht="15" hidden="false" customHeight="true" outlineLevel="0" collapsed="false">
      <c r="A71" s="11" t="s">
        <v>81</v>
      </c>
      <c r="B71" s="11" t="n">
        <v>1</v>
      </c>
      <c r="C71" s="11" t="n">
        <f aca="false">COUNTIF(Conflicts!$C$2:$C$73,"*"&amp;A71&amp;"*")</f>
        <v>4</v>
      </c>
    </row>
    <row r="72" customFormat="false" ht="15" hidden="false" customHeight="true" outlineLevel="0" collapsed="false">
      <c r="A72" s="11" t="s">
        <v>463</v>
      </c>
      <c r="B72" s="11" t="n">
        <v>1</v>
      </c>
      <c r="C72" s="11" t="n">
        <f aca="false">COUNTIF(Conflicts!$C$2:$C$73,"*"&amp;A72&amp;"*")</f>
        <v>1</v>
      </c>
    </row>
    <row r="73" customFormat="false" ht="15" hidden="false" customHeight="true" outlineLevel="0" collapsed="false">
      <c r="A73" s="11" t="s">
        <v>464</v>
      </c>
      <c r="B73" s="11" t="n">
        <v>1</v>
      </c>
      <c r="C73" s="11" t="n">
        <f aca="false">COUNTIF(Conflicts!$C$2:$C$73,"*"&amp;A73&amp;"*")</f>
        <v>3</v>
      </c>
    </row>
    <row r="74" customFormat="false" ht="15" hidden="false" customHeight="true" outlineLevel="0" collapsed="false">
      <c r="A74" s="11" t="s">
        <v>465</v>
      </c>
      <c r="B74" s="11" t="n">
        <v>1</v>
      </c>
      <c r="C74" s="11" t="n">
        <f aca="false">COUNTIF(Conflicts!$C$2:$C$73,"*"&amp;A74&amp;"*")</f>
        <v>2</v>
      </c>
    </row>
    <row r="75" customFormat="false" ht="15" hidden="false" customHeight="true" outlineLevel="0" collapsed="false">
      <c r="A75" s="11" t="s">
        <v>352</v>
      </c>
      <c r="B75" s="11" t="n">
        <v>1</v>
      </c>
      <c r="C75" s="11" t="n">
        <f aca="false">COUNTIF(Conflicts!$C$2:$C$73,"*"&amp;A75&amp;"*")</f>
        <v>1</v>
      </c>
    </row>
    <row r="76" customFormat="false" ht="15" hidden="false" customHeight="true" outlineLevel="0" collapsed="false">
      <c r="A76" s="11" t="s">
        <v>88</v>
      </c>
      <c r="B76" s="11" t="n">
        <v>1</v>
      </c>
      <c r="C76" s="11" t="n">
        <f aca="false">COUNTIF(Conflicts!$C$2:$C$73,"*"&amp;A76&amp;"*")</f>
        <v>1</v>
      </c>
    </row>
    <row r="77" customFormat="false" ht="15" hidden="false" customHeight="true" outlineLevel="0" collapsed="false">
      <c r="A77" s="11" t="s">
        <v>466</v>
      </c>
      <c r="B77" s="11" t="n">
        <v>1</v>
      </c>
      <c r="C77" s="11" t="n">
        <f aca="false">COUNTIF(Conflicts!$C$2:$C$73,"*"&amp;A77&amp;"*")</f>
        <v>5</v>
      </c>
    </row>
    <row r="78" customFormat="false" ht="15" hidden="false" customHeight="true" outlineLevel="0" collapsed="false">
      <c r="A78" s="11" t="s">
        <v>467</v>
      </c>
      <c r="B78" s="11" t="n">
        <v>1</v>
      </c>
      <c r="C78" s="11" t="n">
        <f aca="false">COUNTIF(Conflicts!$C$2:$C$73,"*"&amp;A78&amp;"*")</f>
        <v>4</v>
      </c>
    </row>
    <row r="79" customFormat="false" ht="15" hidden="false" customHeight="true" outlineLevel="0" collapsed="false">
      <c r="A79" s="11" t="s">
        <v>468</v>
      </c>
      <c r="B79" s="11" t="n">
        <v>1</v>
      </c>
      <c r="C79" s="11" t="n">
        <f aca="false">COUNTIF(Conflicts!$C$2:$C$73,"*"&amp;A79&amp;"*")</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Ben Gath</dc:creator>
  <dc:description/>
  <dc:language>en-US</dc:language>
  <cp:lastModifiedBy>Benjamin Gath (PGT)</cp:lastModifiedBy>
  <dcterms:modified xsi:type="dcterms:W3CDTF">2026-10-15T13:41:11Z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